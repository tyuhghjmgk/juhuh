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90" windowWidth="14940" windowHeight="6170" firstSheet="4" activeTab="4"/>
  </bookViews>
  <sheets>
    <sheet name="vregcfg" sheetId="13" state="hidden" r:id="rId1"/>
    <sheet name="old" sheetId="14" state="hidden" r:id="rId2"/>
    <sheet name="new" sheetId="15" state="hidden" r:id="rId3"/>
    <sheet name="P" sheetId="16" state="hidden" r:id="rId4"/>
    <sheet name="P2" sheetId="17" r:id="rId5"/>
  </sheets>
  <functionGroups builtInGroupCount="17"/>
  <calcPr calcId="145621"/>
</workbook>
</file>

<file path=xl/calcChain.xml><?xml version="1.0" encoding="utf-8"?>
<calcChain xmlns="http://schemas.openxmlformats.org/spreadsheetml/2006/main">
  <c r="J20" i="16" l="1"/>
  <c r="K20" i="16" s="1"/>
  <c r="N20" i="16" s="1"/>
  <c r="J19" i="16"/>
  <c r="K19" i="16" s="1"/>
  <c r="N19" i="16" s="1"/>
  <c r="K18" i="16"/>
  <c r="N18" i="16" s="1"/>
  <c r="J18" i="16"/>
  <c r="J17" i="16"/>
  <c r="K17" i="16" s="1"/>
  <c r="N17" i="16" s="1"/>
  <c r="J16" i="16"/>
  <c r="K16" i="16" s="1"/>
  <c r="N16" i="16" s="1"/>
  <c r="J15" i="16"/>
  <c r="K15" i="16" s="1"/>
  <c r="N15" i="16" s="1"/>
  <c r="K14" i="16"/>
  <c r="N14" i="16" s="1"/>
  <c r="J14" i="16"/>
  <c r="J13" i="16"/>
  <c r="K13" i="16" s="1"/>
  <c r="N13" i="16" s="1"/>
  <c r="J12" i="16"/>
  <c r="K12" i="16" s="1"/>
  <c r="N12" i="16" s="1"/>
  <c r="J11" i="16"/>
  <c r="K11" i="16" s="1"/>
  <c r="N11" i="16" s="1"/>
  <c r="K10" i="16"/>
  <c r="N10" i="16" s="1"/>
  <c r="J10" i="16"/>
  <c r="J9" i="16"/>
  <c r="K9" i="16" s="1"/>
  <c r="N9" i="16" s="1"/>
  <c r="J8" i="16"/>
  <c r="K8" i="16" s="1"/>
  <c r="N8" i="16" s="1"/>
  <c r="J7" i="16"/>
  <c r="K7" i="16" s="1"/>
  <c r="N7" i="16" s="1"/>
  <c r="K6" i="16"/>
  <c r="N6" i="16" s="1"/>
  <c r="J6" i="16"/>
  <c r="J5" i="16"/>
  <c r="K5" i="16" s="1"/>
  <c r="N5" i="16" s="1"/>
  <c r="J4" i="16"/>
  <c r="K4" i="16" s="1"/>
  <c r="N4" i="16" s="1"/>
  <c r="N3" i="16"/>
  <c r="J3" i="16"/>
  <c r="E11" i="15"/>
  <c r="C11" i="15"/>
  <c r="D11" i="15" s="1"/>
  <c r="B11" i="15"/>
  <c r="E10" i="15"/>
  <c r="F10" i="15" s="1"/>
  <c r="B10" i="15"/>
  <c r="C10" i="15" s="1"/>
  <c r="D10" i="15" s="1"/>
  <c r="E9" i="15"/>
  <c r="F9" i="15" s="1"/>
  <c r="B9" i="15"/>
  <c r="C9" i="15" s="1"/>
  <c r="D9" i="15" s="1"/>
  <c r="B8" i="15"/>
  <c r="E8" i="15" s="1"/>
  <c r="F8" i="15" s="1"/>
  <c r="E7" i="15"/>
  <c r="F7" i="15" s="1"/>
  <c r="C7" i="15"/>
  <c r="D7" i="15" s="1"/>
  <c r="B7" i="15"/>
  <c r="E6" i="15"/>
  <c r="F6" i="15" s="1"/>
  <c r="B6" i="15"/>
  <c r="C6" i="15" s="1"/>
  <c r="D6" i="15" s="1"/>
  <c r="E5" i="15"/>
  <c r="F5" i="15" s="1"/>
  <c r="B5" i="15"/>
  <c r="C5" i="15" s="1"/>
  <c r="D5" i="15" s="1"/>
  <c r="B4" i="15"/>
  <c r="E4" i="15" s="1"/>
  <c r="F4" i="15" s="1"/>
  <c r="E3" i="15"/>
  <c r="F3" i="15" s="1"/>
  <c r="C3" i="15"/>
  <c r="D3" i="15" s="1"/>
  <c r="B3" i="15"/>
  <c r="B2" i="15"/>
  <c r="C2" i="15" s="1"/>
  <c r="D2" i="15" s="1"/>
  <c r="B11" i="14"/>
  <c r="B10" i="14"/>
  <c r="B9" i="14"/>
  <c r="B8" i="14"/>
  <c r="B7" i="14"/>
  <c r="B6" i="14"/>
  <c r="B5" i="14"/>
  <c r="B4" i="14"/>
  <c r="B3" i="14"/>
  <c r="B2" i="14"/>
  <c r="C2" i="14" s="1"/>
  <c r="D2" i="14" s="1"/>
  <c r="J49" i="13"/>
  <c r="K49" i="13" s="1"/>
  <c r="N49" i="13" s="1"/>
  <c r="K47" i="13"/>
  <c r="N47" i="13" s="1"/>
  <c r="J47" i="13"/>
  <c r="J45" i="13"/>
  <c r="K45" i="13" s="1"/>
  <c r="N45" i="13" s="1"/>
  <c r="J43" i="13"/>
  <c r="K43" i="13" s="1"/>
  <c r="N43" i="13" s="1"/>
  <c r="J42" i="13"/>
  <c r="K42" i="13" s="1"/>
  <c r="N42" i="13" s="1"/>
  <c r="K40" i="13"/>
  <c r="N40" i="13" s="1"/>
  <c r="J40" i="13"/>
  <c r="J39" i="13"/>
  <c r="K39" i="13" s="1"/>
  <c r="N39" i="13" s="1"/>
  <c r="J37" i="13"/>
  <c r="K37" i="13" s="1"/>
  <c r="N37" i="13" s="1"/>
  <c r="J36" i="13"/>
  <c r="K36" i="13" s="1"/>
  <c r="N36" i="13" s="1"/>
  <c r="K35" i="13"/>
  <c r="N35" i="13" s="1"/>
  <c r="J35" i="13"/>
  <c r="J33" i="13"/>
  <c r="K33" i="13" s="1"/>
  <c r="N33" i="13" s="1"/>
  <c r="J32" i="13"/>
  <c r="K32" i="13" s="1"/>
  <c r="N32" i="13" s="1"/>
  <c r="J31" i="13"/>
  <c r="K31" i="13" s="1"/>
  <c r="N31" i="13" s="1"/>
  <c r="K30" i="13"/>
  <c r="N30" i="13" s="1"/>
  <c r="J30" i="13"/>
  <c r="J29" i="13"/>
  <c r="K29" i="13" s="1"/>
  <c r="N29" i="13" s="1"/>
  <c r="J27" i="13"/>
  <c r="K27" i="13" s="1"/>
  <c r="N27" i="13" s="1"/>
  <c r="J26" i="13"/>
  <c r="K26" i="13" s="1"/>
  <c r="N26" i="13" s="1"/>
  <c r="K25" i="13"/>
  <c r="N25" i="13" s="1"/>
  <c r="J25" i="13"/>
  <c r="J24" i="13"/>
  <c r="K24" i="13" s="1"/>
  <c r="N24" i="13" s="1"/>
  <c r="J23" i="13"/>
  <c r="K23" i="13" s="1"/>
  <c r="N23" i="13" s="1"/>
  <c r="J22" i="13"/>
  <c r="K22" i="13" s="1"/>
  <c r="N22" i="13" s="1"/>
  <c r="K21" i="13"/>
  <c r="N21" i="13" s="1"/>
  <c r="J21" i="13"/>
  <c r="J19" i="13"/>
  <c r="K19" i="13" s="1"/>
  <c r="N19" i="13" s="1"/>
  <c r="J18" i="13"/>
  <c r="K18" i="13" s="1"/>
  <c r="N18" i="13" s="1"/>
  <c r="J17" i="13"/>
  <c r="K17" i="13" s="1"/>
  <c r="N17" i="13" s="1"/>
  <c r="K16" i="13"/>
  <c r="N16" i="13" s="1"/>
  <c r="J16" i="13"/>
  <c r="J15" i="13"/>
  <c r="K15" i="13" s="1"/>
  <c r="N15" i="13" s="1"/>
  <c r="J14" i="13"/>
  <c r="K14" i="13" s="1"/>
  <c r="N14" i="13" s="1"/>
  <c r="J13" i="13"/>
  <c r="K13" i="13" s="1"/>
  <c r="N13" i="13" s="1"/>
  <c r="K12" i="13"/>
  <c r="N12" i="13" s="1"/>
  <c r="J12" i="13"/>
  <c r="J11" i="13"/>
  <c r="K11" i="13" s="1"/>
  <c r="N11" i="13" s="1"/>
  <c r="J10" i="13"/>
  <c r="K10" i="13" s="1"/>
  <c r="N10" i="13" s="1"/>
  <c r="J9" i="13"/>
  <c r="K9" i="13" s="1"/>
  <c r="N9" i="13" s="1"/>
  <c r="K8" i="13"/>
  <c r="N8" i="13" s="1"/>
  <c r="J8" i="13"/>
  <c r="J7" i="13"/>
  <c r="K7" i="13" s="1"/>
  <c r="N7" i="13" s="1"/>
  <c r="J6" i="13"/>
  <c r="K6" i="13" s="1"/>
  <c r="N6" i="13" s="1"/>
  <c r="J5" i="13"/>
  <c r="K5" i="13" s="1"/>
  <c r="N5" i="13" s="1"/>
  <c r="K4" i="13"/>
  <c r="N4" i="13" s="1"/>
  <c r="J4" i="13"/>
  <c r="N2" i="13"/>
  <c r="J2" i="13"/>
  <c r="E11" i="14" l="1"/>
  <c r="E8" i="14"/>
  <c r="E9" i="14"/>
  <c r="E4" i="14"/>
  <c r="E6" i="14"/>
  <c r="C3" i="14"/>
  <c r="D3" i="14" s="1"/>
  <c r="E3" i="14" s="1"/>
  <c r="C5" i="14"/>
  <c r="D5" i="14" s="1"/>
  <c r="E5" i="14" s="1"/>
  <c r="C7" i="14"/>
  <c r="D7" i="14" s="1"/>
  <c r="E7" i="14" s="1"/>
  <c r="C9" i="14"/>
  <c r="D9" i="14" s="1"/>
  <c r="C11" i="14"/>
  <c r="D11" i="14" s="1"/>
  <c r="C4" i="15"/>
  <c r="D4" i="15" s="1"/>
  <c r="C8" i="15"/>
  <c r="D8" i="15" s="1"/>
  <c r="C4" i="14"/>
  <c r="D4" i="14" s="1"/>
  <c r="C6" i="14"/>
  <c r="D6" i="14" s="1"/>
  <c r="C8" i="14"/>
  <c r="D8" i="14" s="1"/>
  <c r="C10" i="14"/>
  <c r="D10" i="14" s="1"/>
  <c r="E10" i="14" s="1"/>
</calcChain>
</file>

<file path=xl/sharedStrings.xml><?xml version="1.0" encoding="utf-8"?>
<sst xmlns="http://schemas.openxmlformats.org/spreadsheetml/2006/main" count="1256" uniqueCount="114">
  <si>
    <t>vregcfg</t>
  </si>
  <si>
    <t>VL mul</t>
  </si>
  <si>
    <t>V reg max</t>
  </si>
  <si>
    <t>single</t>
  </si>
  <si>
    <t>double</t>
  </si>
  <si>
    <t>quad</t>
  </si>
  <si>
    <t>total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</si>
  <si>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</si>
  <si>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</si>
  <si>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</si>
  <si>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</si>
  <si>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</si>
  <si>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</si>
  <si>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</si>
  <si>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</si>
  <si>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</si>
  <si>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</si>
  <si>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</si>
  <si>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</si>
  <si>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</si>
  <si>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</si>
  <si>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</si>
  <si>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</si>
  <si>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</si>
  <si>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</si>
  <si>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</si>
  <si>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</si>
  <si>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</si>
  <si>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</si>
  <si>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</si>
  <si>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</si>
  <si>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</si>
  <si>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</si>
  <si>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</si>
  <si>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</si>
  <si>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</si>
  <si>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</si>
  <si>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</si>
  <si>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</si>
  <si>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s</t>
  </si>
  <si>
    <t>d</t>
  </si>
  <si>
    <t>q</t>
  </si>
  <si>
    <t>MAXVL mul</t>
  </si>
  <si>
    <t>#Vregs</t>
  </si>
  <si>
    <t>Phys used</t>
  </si>
  <si>
    <t>Residual</t>
  </si>
  <si>
    <t>Max half</t>
  </si>
  <si>
    <t>Max double</t>
  </si>
  <si>
    <t>Max quad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</si>
  <si>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</si>
  <si>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</si>
  <si>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</si>
  <si>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</si>
  <si>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</si>
  <si>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</si>
  <si>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</si>
  <si>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</si>
  <si>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</si>
  <si>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</si>
  <si>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</si>
  <si>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</si>
  <si>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</si>
  <si>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</si>
  <si>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</si>
  <si>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</si>
  <si>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</si>
  <si>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</si>
  <si>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</si>
  <si>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</si>
  <si>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</si>
  <si>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</si>
  <si>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</si>
  <si>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</si>
  <si>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</si>
  <si>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</si>
  <si>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</si>
  <si>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</si>
  <si>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</si>
  <si>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</si>
  <si>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</si>
  <si>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</si>
  <si>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ra</t>
  </si>
  <si>
    <t>sp</t>
  </si>
  <si>
    <t>gp</t>
  </si>
  <si>
    <t>tp</t>
  </si>
  <si>
    <t>t0</t>
  </si>
  <si>
    <t>t1</t>
  </si>
  <si>
    <t>t2</t>
  </si>
  <si>
    <t>s0</t>
  </si>
  <si>
    <t>s1</t>
  </si>
  <si>
    <t>a0</t>
  </si>
  <si>
    <t>a1</t>
  </si>
  <si>
    <t>a2</t>
  </si>
  <si>
    <t>a3</t>
  </si>
  <si>
    <t>a4</t>
  </si>
  <si>
    <t>a5</t>
  </si>
  <si>
    <t>a6</t>
  </si>
  <si>
    <t>a7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</si>
  <si>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</si>
  <si>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</si>
  <si>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</si>
  <si>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</si>
  <si>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</si>
  <si>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</si>
  <si>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</si>
  <si>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</si>
  <si>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</si>
  <si>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</si>
  <si>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t3</t>
  </si>
  <si>
    <t>t4</t>
  </si>
  <si>
    <t>t5</t>
  </si>
  <si>
    <t>t6</t>
  </si>
  <si>
    <t>s0/fp</t>
  </si>
  <si>
    <t>t0/ara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</si>
</sst>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6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6100"/>
      <name val="宋体"/>
      <family val="2"/>
      <scheme val="minor"/>
    </font>
    <font>
      <sz val="12"/>
      <color rgb="FF9C0006"/>
      <name val="宋体"/>
      <family val="2"/>
      <scheme val="minor"/>
    </font>
    <font>
      <sz val="12"/>
      <color rgb="FF9C65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  <bgColor rgb="FF000000"/>
      </patternFill>
    </fill>
    <fill>
      <patternFill patternType="solid">
        <fgColor rgb="FFFFC7CE"/>
        <bgColor rgb="FF000000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1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25">
    <xf numFmtId="0" fontId="0" fillId="0" borderId="0" xfId="0"/>
    <xf numFmtId="0" fontId="1" fillId="0" borderId="0" xfId="1" applyAlignment="1">
      <alignment horizontal="center"/>
    </xf>
    <xf numFmtId="0" fontId="1" fillId="0" borderId="0" xfId="1"/>
    <xf numFmtId="0" fontId="1" fillId="0" borderId="0" xfId="1" applyAlignment="1">
      <alignment horizontal="center"/>
    </xf>
    <xf numFmtId="0" fontId="3" fillId="2" borderId="1" xfId="2" applyBorder="1" applyAlignment="1">
      <alignment horizontal="center"/>
    </xf>
    <xf numFmtId="0" fontId="4" fillId="3" borderId="0" xfId="3" applyAlignment="1">
      <alignment horizontal="center"/>
    </xf>
    <xf numFmtId="0" fontId="3" fillId="2" borderId="2" xfId="2" applyBorder="1" applyAlignment="1">
      <alignment horizontal="center"/>
    </xf>
    <xf numFmtId="0" fontId="4" fillId="3" borderId="3" xfId="3" applyBorder="1" applyAlignment="1">
      <alignment horizontal="center"/>
    </xf>
    <xf numFmtId="0" fontId="4" fillId="3" borderId="4" xfId="3" applyBorder="1" applyAlignment="1">
      <alignment horizontal="center"/>
    </xf>
    <xf numFmtId="0" fontId="5" fillId="4" borderId="1" xfId="4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5" fillId="4" borderId="3" xfId="4" applyBorder="1" applyAlignment="1">
      <alignment horizontal="center"/>
    </xf>
    <xf numFmtId="0" fontId="5" fillId="4" borderId="4" xfId="4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5" fillId="4" borderId="8" xfId="4" applyBorder="1" applyAlignment="1">
      <alignment horizontal="center"/>
    </xf>
    <xf numFmtId="0" fontId="5" fillId="4" borderId="6" xfId="4" applyBorder="1" applyAlignment="1">
      <alignment horizontal="center"/>
    </xf>
    <xf numFmtId="0" fontId="5" fillId="4" borderId="7" xfId="4" applyBorder="1" applyAlignment="1">
      <alignment horizontal="center"/>
    </xf>
    <xf numFmtId="0" fontId="5" fillId="4" borderId="5" xfId="4" applyBorder="1" applyAlignment="1">
      <alignment horizontal="center"/>
    </xf>
    <xf numFmtId="0" fontId="5" fillId="4" borderId="0" xfId="4" applyAlignment="1">
      <alignment horizontal="center"/>
    </xf>
    <xf numFmtId="0" fontId="4" fillId="3" borderId="9" xfId="3" applyBorder="1" applyAlignment="1">
      <alignment horizontal="center"/>
    </xf>
    <xf numFmtId="0" fontId="4" fillId="3" borderId="10" xfId="3" applyBorder="1" applyAlignment="1">
      <alignment horizontal="center"/>
    </xf>
    <xf numFmtId="0" fontId="3" fillId="2" borderId="0" xfId="2" applyAlignment="1">
      <alignment horizontal="center"/>
    </xf>
    <xf numFmtId="0" fontId="3" fillId="2" borderId="8" xfId="2" applyBorder="1" applyAlignment="1">
      <alignment horizontal="center"/>
    </xf>
  </cellXfs>
  <cellStyles count="5">
    <cellStyle name="差 2" xfId="3"/>
    <cellStyle name="常规" xfId="0" builtinId="0"/>
    <cellStyle name="常规 2" xfId="1"/>
    <cellStyle name="好 2" xfId="2"/>
    <cellStyle name="适中 2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49"/>
  <sheetViews>
    <sheetView zoomScale="125" zoomScaleNormal="125" zoomScalePageLayoutView="125" workbookViewId="0">
      <selection sqref="A1:G1"/>
    </sheetView>
  </sheetViews>
  <sheetFormatPr defaultColWidth="11.6328125" defaultRowHeight="15" x14ac:dyDescent="0.25"/>
  <cols>
    <col min="1" max="7" width="2.36328125" style="2" customWidth="1"/>
    <col min="8" max="8" width="6.1796875" style="2" customWidth="1"/>
    <col min="9" max="9" width="7.08984375" style="2" customWidth="1"/>
    <col min="10" max="10" width="10" style="2" customWidth="1"/>
    <col min="11" max="11" width="6.36328125" style="2" customWidth="1"/>
    <col min="12" max="12" width="8.1796875" style="2" customWidth="1"/>
    <col min="13" max="14" width="6.1796875" style="2" customWidth="1"/>
    <col min="15" max="15" width="4.1796875" style="2" customWidth="1"/>
    <col min="16" max="47" width="3.453125" style="3" customWidth="1"/>
    <col min="48" max="16384" width="11.6328125" style="2"/>
  </cols>
  <sheetData>
    <row r="1" spans="1:47" x14ac:dyDescent="0.25">
      <c r="A1" s="1" t="s">
        <v>0</v>
      </c>
      <c r="B1" s="1"/>
      <c r="C1" s="1"/>
      <c r="D1" s="1"/>
      <c r="E1" s="1"/>
      <c r="F1" s="1"/>
      <c r="G1" s="1"/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  <c r="N1" s="2" t="s">
        <v>6</v>
      </c>
      <c r="P1" s="3" t="s">
        <v>7</v>
      </c>
      <c r="Q1" s="3" t="s">
        <v>8</v>
      </c>
      <c r="R1" s="3" t="s">
        <v>9</v>
      </c>
      <c r="S1" s="3" t="s">
        <v>10</v>
      </c>
      <c r="T1" s="3" t="s">
        <v>11</v>
      </c>
      <c r="U1" s="3" t="s">
        <v>12</v>
      </c>
      <c r="V1" s="3" t="s">
        <v>13</v>
      </c>
      <c r="W1" s="3" t="s">
        <v>14</v>
      </c>
      <c r="X1" s="3" t="s">
        <v>15</v>
      </c>
      <c r="Y1" s="3" t="s">
        <v>16</v>
      </c>
      <c r="Z1" s="3" t="s">
        <v>17</v>
      </c>
      <c r="AA1" s="3" t="s">
        <v>18</v>
      </c>
      <c r="AB1" s="3" t="s">
        <v>19</v>
      </c>
      <c r="AC1" s="3" t="s">
        <v>20</v>
      </c>
      <c r="AD1" s="3" t="s">
        <v>21</v>
      </c>
      <c r="AE1" s="3" t="s">
        <v>22</v>
      </c>
      <c r="AF1" s="3" t="s">
        <v>23</v>
      </c>
      <c r="AG1" s="3" t="s">
        <v>24</v>
      </c>
      <c r="AH1" s="3" t="s">
        <v>25</v>
      </c>
      <c r="AI1" s="3" t="s">
        <v>26</v>
      </c>
      <c r="AJ1" s="3" t="s">
        <v>27</v>
      </c>
      <c r="AK1" s="3" t="s">
        <v>28</v>
      </c>
      <c r="AL1" s="3" t="s">
        <v>29</v>
      </c>
      <c r="AM1" s="3" t="s">
        <v>30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3" t="s">
        <v>38</v>
      </c>
    </row>
    <row r="2" spans="1:47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I2" s="2">
        <v>1</v>
      </c>
      <c r="J2" s="2">
        <f>TRUNC(32/I2,0)</f>
        <v>32</v>
      </c>
      <c r="K2" s="2">
        <v>32</v>
      </c>
      <c r="L2" s="2">
        <v>0</v>
      </c>
      <c r="M2" s="2">
        <v>0</v>
      </c>
      <c r="N2" s="2">
        <f>SUM(K2:M2)</f>
        <v>32</v>
      </c>
      <c r="P2" s="4" t="s">
        <v>39</v>
      </c>
      <c r="Q2" s="4" t="s">
        <v>39</v>
      </c>
      <c r="R2" s="4" t="s">
        <v>39</v>
      </c>
      <c r="S2" s="4" t="s">
        <v>39</v>
      </c>
      <c r="T2" s="4" t="s">
        <v>39</v>
      </c>
      <c r="U2" s="4" t="s">
        <v>39</v>
      </c>
      <c r="V2" s="4" t="s">
        <v>39</v>
      </c>
      <c r="W2" s="4" t="s">
        <v>39</v>
      </c>
      <c r="X2" s="4" t="s">
        <v>39</v>
      </c>
      <c r="Y2" s="4" t="s">
        <v>39</v>
      </c>
      <c r="Z2" s="4" t="s">
        <v>39</v>
      </c>
      <c r="AA2" s="4" t="s">
        <v>39</v>
      </c>
      <c r="AB2" s="4" t="s">
        <v>39</v>
      </c>
      <c r="AC2" s="4" t="s">
        <v>39</v>
      </c>
      <c r="AD2" s="4" t="s">
        <v>39</v>
      </c>
      <c r="AE2" s="4" t="s">
        <v>39</v>
      </c>
      <c r="AF2" s="4" t="s">
        <v>39</v>
      </c>
      <c r="AG2" s="4" t="s">
        <v>39</v>
      </c>
      <c r="AH2" s="4" t="s">
        <v>39</v>
      </c>
      <c r="AI2" s="4" t="s">
        <v>39</v>
      </c>
      <c r="AJ2" s="4" t="s">
        <v>39</v>
      </c>
      <c r="AK2" s="4" t="s">
        <v>39</v>
      </c>
      <c r="AL2" s="4" t="s">
        <v>39</v>
      </c>
      <c r="AM2" s="4" t="s">
        <v>39</v>
      </c>
      <c r="AN2" s="4" t="s">
        <v>39</v>
      </c>
      <c r="AO2" s="4" t="s">
        <v>39</v>
      </c>
      <c r="AP2" s="4" t="s">
        <v>39</v>
      </c>
      <c r="AQ2" s="4" t="s">
        <v>39</v>
      </c>
      <c r="AR2" s="4" t="s">
        <v>39</v>
      </c>
      <c r="AS2" s="4" t="s">
        <v>39</v>
      </c>
      <c r="AT2" s="4" t="s">
        <v>39</v>
      </c>
      <c r="AU2" s="4" t="s">
        <v>39</v>
      </c>
    </row>
    <row r="3" spans="1:47" x14ac:dyDescent="0.25"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47" x14ac:dyDescent="0.25">
      <c r="A4" s="2">
        <v>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I4" s="2">
        <v>2</v>
      </c>
      <c r="J4" s="2">
        <f>TRUNC(32/I4,0)</f>
        <v>16</v>
      </c>
      <c r="K4" s="2">
        <f>J4-(2*L4)-(4*M4)</f>
        <v>16</v>
      </c>
      <c r="L4" s="2">
        <v>0</v>
      </c>
      <c r="M4" s="2">
        <v>0</v>
      </c>
      <c r="N4" s="2">
        <f t="shared" ref="N4:N19" si="0">SUM(K4:M4)</f>
        <v>16</v>
      </c>
      <c r="P4" s="4" t="s">
        <v>39</v>
      </c>
      <c r="Q4" s="4" t="s">
        <v>39</v>
      </c>
      <c r="R4" s="4" t="s">
        <v>39</v>
      </c>
      <c r="S4" s="4" t="s">
        <v>39</v>
      </c>
      <c r="T4" s="4" t="s">
        <v>39</v>
      </c>
      <c r="U4" s="4" t="s">
        <v>39</v>
      </c>
      <c r="V4" s="4" t="s">
        <v>39</v>
      </c>
      <c r="W4" s="4" t="s">
        <v>39</v>
      </c>
      <c r="X4" s="4" t="s">
        <v>39</v>
      </c>
      <c r="Y4" s="4" t="s">
        <v>39</v>
      </c>
      <c r="Z4" s="4" t="s">
        <v>39</v>
      </c>
      <c r="AA4" s="4" t="s">
        <v>39</v>
      </c>
      <c r="AB4" s="4" t="s">
        <v>39</v>
      </c>
      <c r="AC4" s="4" t="s">
        <v>39</v>
      </c>
      <c r="AD4" s="4" t="s">
        <v>39</v>
      </c>
      <c r="AE4" s="4" t="s">
        <v>39</v>
      </c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x14ac:dyDescent="0.25">
      <c r="A5" s="2">
        <v>0</v>
      </c>
      <c r="B5" s="2">
        <v>0</v>
      </c>
      <c r="C5" s="2">
        <v>1</v>
      </c>
      <c r="D5" s="2">
        <v>0</v>
      </c>
      <c r="E5" s="2">
        <v>0</v>
      </c>
      <c r="F5" s="2">
        <v>0</v>
      </c>
      <c r="G5" s="2">
        <v>1</v>
      </c>
      <c r="I5" s="2">
        <v>2</v>
      </c>
      <c r="J5" s="2">
        <f>TRUNC(32/I5,0)</f>
        <v>16</v>
      </c>
      <c r="K5" s="2">
        <f t="shared" ref="K5:K19" si="1">J5-(2*L5)-(4*M5)</f>
        <v>14</v>
      </c>
      <c r="L5" s="2">
        <v>1</v>
      </c>
      <c r="M5" s="2">
        <v>0</v>
      </c>
      <c r="N5" s="2">
        <f t="shared" si="0"/>
        <v>15</v>
      </c>
      <c r="P5" s="4" t="s">
        <v>39</v>
      </c>
      <c r="Q5" s="4" t="s">
        <v>39</v>
      </c>
      <c r="R5" s="6" t="s">
        <v>40</v>
      </c>
      <c r="S5" s="7"/>
      <c r="T5" s="4" t="s">
        <v>39</v>
      </c>
      <c r="U5" s="4" t="s">
        <v>39</v>
      </c>
      <c r="V5" s="4" t="s">
        <v>39</v>
      </c>
      <c r="W5" s="4" t="s">
        <v>39</v>
      </c>
      <c r="X5" s="4" t="s">
        <v>39</v>
      </c>
      <c r="Y5" s="4" t="s">
        <v>39</v>
      </c>
      <c r="Z5" s="4" t="s">
        <v>39</v>
      </c>
      <c r="AA5" s="4" t="s">
        <v>39</v>
      </c>
      <c r="AB5" s="4" t="s">
        <v>39</v>
      </c>
      <c r="AC5" s="4" t="s">
        <v>39</v>
      </c>
      <c r="AD5" s="4" t="s">
        <v>39</v>
      </c>
      <c r="AE5" s="4" t="s">
        <v>39</v>
      </c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x14ac:dyDescent="0.25">
      <c r="A6" s="2">
        <v>0</v>
      </c>
      <c r="B6" s="2">
        <v>0</v>
      </c>
      <c r="C6" s="2">
        <v>1</v>
      </c>
      <c r="D6" s="2">
        <v>0</v>
      </c>
      <c r="E6" s="2">
        <v>0</v>
      </c>
      <c r="F6" s="2">
        <v>1</v>
      </c>
      <c r="G6" s="2">
        <v>0</v>
      </c>
      <c r="I6" s="2">
        <v>2</v>
      </c>
      <c r="J6" s="2">
        <f>TRUNC(32/I6,0)</f>
        <v>16</v>
      </c>
      <c r="K6" s="2">
        <f t="shared" si="1"/>
        <v>12</v>
      </c>
      <c r="L6" s="2">
        <v>2</v>
      </c>
      <c r="M6" s="2">
        <v>0</v>
      </c>
      <c r="N6" s="2">
        <f t="shared" si="0"/>
        <v>14</v>
      </c>
      <c r="P6" s="4" t="s">
        <v>39</v>
      </c>
      <c r="Q6" s="4" t="s">
        <v>39</v>
      </c>
      <c r="R6" s="6" t="s">
        <v>40</v>
      </c>
      <c r="S6" s="7"/>
      <c r="T6" s="6" t="s">
        <v>40</v>
      </c>
      <c r="U6" s="7"/>
      <c r="V6" s="4" t="s">
        <v>39</v>
      </c>
      <c r="W6" s="4" t="s">
        <v>39</v>
      </c>
      <c r="X6" s="4" t="s">
        <v>39</v>
      </c>
      <c r="Y6" s="4" t="s">
        <v>39</v>
      </c>
      <c r="Z6" s="4" t="s">
        <v>39</v>
      </c>
      <c r="AA6" s="4" t="s">
        <v>39</v>
      </c>
      <c r="AB6" s="4" t="s">
        <v>39</v>
      </c>
      <c r="AC6" s="4" t="s">
        <v>39</v>
      </c>
      <c r="AD6" s="4" t="s">
        <v>39</v>
      </c>
      <c r="AE6" s="4" t="s">
        <v>39</v>
      </c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x14ac:dyDescent="0.25">
      <c r="A7" s="2">
        <v>0</v>
      </c>
      <c r="B7" s="2">
        <v>0</v>
      </c>
      <c r="C7" s="2">
        <v>1</v>
      </c>
      <c r="D7" s="2">
        <v>0</v>
      </c>
      <c r="E7" s="2">
        <v>0</v>
      </c>
      <c r="F7" s="2">
        <v>1</v>
      </c>
      <c r="G7" s="2">
        <v>1</v>
      </c>
      <c r="I7" s="2">
        <v>2</v>
      </c>
      <c r="J7" s="2">
        <f>TRUNC(32/I7,0)</f>
        <v>16</v>
      </c>
      <c r="K7" s="2">
        <f t="shared" si="1"/>
        <v>10</v>
      </c>
      <c r="L7" s="2">
        <v>3</v>
      </c>
      <c r="M7" s="2">
        <v>0</v>
      </c>
      <c r="N7" s="2">
        <f t="shared" si="0"/>
        <v>13</v>
      </c>
      <c r="P7" s="4" t="s">
        <v>39</v>
      </c>
      <c r="Q7" s="4" t="s">
        <v>39</v>
      </c>
      <c r="R7" s="6" t="s">
        <v>40</v>
      </c>
      <c r="S7" s="7"/>
      <c r="T7" s="6" t="s">
        <v>40</v>
      </c>
      <c r="U7" s="7"/>
      <c r="V7" s="6" t="s">
        <v>40</v>
      </c>
      <c r="W7" s="7"/>
      <c r="X7" s="4" t="s">
        <v>39</v>
      </c>
      <c r="Y7" s="4" t="s">
        <v>39</v>
      </c>
      <c r="Z7" s="4" t="s">
        <v>39</v>
      </c>
      <c r="AA7" s="4" t="s">
        <v>39</v>
      </c>
      <c r="AB7" s="4" t="s">
        <v>39</v>
      </c>
      <c r="AC7" s="4" t="s">
        <v>39</v>
      </c>
      <c r="AD7" s="4" t="s">
        <v>39</v>
      </c>
      <c r="AE7" s="4" t="s">
        <v>39</v>
      </c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 x14ac:dyDescent="0.25">
      <c r="A8" s="2">
        <v>0</v>
      </c>
      <c r="B8" s="2">
        <v>0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I8" s="2">
        <v>2</v>
      </c>
      <c r="J8" s="2">
        <f t="shared" ref="J8:J19" si="2">TRUNC(32/I8,0)</f>
        <v>16</v>
      </c>
      <c r="K8" s="2">
        <f t="shared" si="1"/>
        <v>8</v>
      </c>
      <c r="L8" s="2">
        <v>4</v>
      </c>
      <c r="M8" s="2">
        <v>0</v>
      </c>
      <c r="N8" s="2">
        <f t="shared" si="0"/>
        <v>12</v>
      </c>
      <c r="P8" s="4" t="s">
        <v>39</v>
      </c>
      <c r="Q8" s="4" t="s">
        <v>39</v>
      </c>
      <c r="R8" s="6" t="s">
        <v>40</v>
      </c>
      <c r="S8" s="7"/>
      <c r="T8" s="6" t="s">
        <v>40</v>
      </c>
      <c r="U8" s="7"/>
      <c r="V8" s="6" t="s">
        <v>40</v>
      </c>
      <c r="W8" s="7"/>
      <c r="X8" s="6" t="s">
        <v>40</v>
      </c>
      <c r="Y8" s="7"/>
      <c r="Z8" s="4" t="s">
        <v>39</v>
      </c>
      <c r="AA8" s="4" t="s">
        <v>39</v>
      </c>
      <c r="AB8" s="4" t="s">
        <v>39</v>
      </c>
      <c r="AC8" s="4" t="s">
        <v>39</v>
      </c>
      <c r="AD8" s="4" t="s">
        <v>39</v>
      </c>
      <c r="AE8" s="4" t="s">
        <v>39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7" x14ac:dyDescent="0.25">
      <c r="A9" s="2">
        <v>0</v>
      </c>
      <c r="B9" s="2">
        <v>0</v>
      </c>
      <c r="C9" s="2">
        <v>1</v>
      </c>
      <c r="D9" s="2">
        <v>0</v>
      </c>
      <c r="E9" s="2">
        <v>1</v>
      </c>
      <c r="F9" s="2">
        <v>0</v>
      </c>
      <c r="G9" s="2">
        <v>1</v>
      </c>
      <c r="I9" s="2">
        <v>2</v>
      </c>
      <c r="J9" s="2">
        <f t="shared" si="2"/>
        <v>16</v>
      </c>
      <c r="K9" s="2">
        <f t="shared" si="1"/>
        <v>6</v>
      </c>
      <c r="L9" s="2">
        <v>5</v>
      </c>
      <c r="M9" s="2">
        <v>0</v>
      </c>
      <c r="N9" s="2">
        <f t="shared" si="0"/>
        <v>11</v>
      </c>
      <c r="P9" s="4" t="s">
        <v>39</v>
      </c>
      <c r="Q9" s="4" t="s">
        <v>39</v>
      </c>
      <c r="R9" s="6" t="s">
        <v>40</v>
      </c>
      <c r="S9" s="7"/>
      <c r="T9" s="6" t="s">
        <v>40</v>
      </c>
      <c r="U9" s="7"/>
      <c r="V9" s="6" t="s">
        <v>40</v>
      </c>
      <c r="W9" s="7"/>
      <c r="X9" s="6" t="s">
        <v>40</v>
      </c>
      <c r="Y9" s="7"/>
      <c r="Z9" s="6" t="s">
        <v>40</v>
      </c>
      <c r="AA9" s="7"/>
      <c r="AB9" s="4" t="s">
        <v>39</v>
      </c>
      <c r="AC9" s="4" t="s">
        <v>39</v>
      </c>
      <c r="AD9" s="4" t="s">
        <v>39</v>
      </c>
      <c r="AE9" s="4" t="s">
        <v>39</v>
      </c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47" x14ac:dyDescent="0.25">
      <c r="A10" s="2">
        <v>0</v>
      </c>
      <c r="B10" s="2">
        <v>0</v>
      </c>
      <c r="C10" s="2">
        <v>1</v>
      </c>
      <c r="D10" s="2">
        <v>0</v>
      </c>
      <c r="E10" s="2">
        <v>1</v>
      </c>
      <c r="F10" s="2">
        <v>1</v>
      </c>
      <c r="G10" s="2">
        <v>0</v>
      </c>
      <c r="I10" s="2">
        <v>2</v>
      </c>
      <c r="J10" s="2">
        <f t="shared" si="2"/>
        <v>16</v>
      </c>
      <c r="K10" s="2">
        <f t="shared" si="1"/>
        <v>4</v>
      </c>
      <c r="L10" s="2">
        <v>6</v>
      </c>
      <c r="M10" s="2">
        <v>0</v>
      </c>
      <c r="N10" s="2">
        <f t="shared" si="0"/>
        <v>10</v>
      </c>
      <c r="P10" s="4" t="s">
        <v>39</v>
      </c>
      <c r="Q10" s="4" t="s">
        <v>39</v>
      </c>
      <c r="R10" s="6" t="s">
        <v>40</v>
      </c>
      <c r="S10" s="7"/>
      <c r="T10" s="6" t="s">
        <v>40</v>
      </c>
      <c r="U10" s="7"/>
      <c r="V10" s="6" t="s">
        <v>40</v>
      </c>
      <c r="W10" s="7"/>
      <c r="X10" s="6" t="s">
        <v>40</v>
      </c>
      <c r="Y10" s="7"/>
      <c r="Z10" s="6" t="s">
        <v>40</v>
      </c>
      <c r="AA10" s="7"/>
      <c r="AB10" s="6" t="s">
        <v>40</v>
      </c>
      <c r="AC10" s="7"/>
      <c r="AD10" s="4" t="s">
        <v>39</v>
      </c>
      <c r="AE10" s="4" t="s">
        <v>39</v>
      </c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1:47" x14ac:dyDescent="0.25">
      <c r="A11" s="2">
        <v>0</v>
      </c>
      <c r="B11" s="2">
        <v>0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I11" s="2">
        <v>2</v>
      </c>
      <c r="J11" s="2">
        <f t="shared" si="2"/>
        <v>16</v>
      </c>
      <c r="K11" s="2">
        <f t="shared" si="1"/>
        <v>2</v>
      </c>
      <c r="L11" s="2">
        <v>7</v>
      </c>
      <c r="M11" s="2">
        <v>0</v>
      </c>
      <c r="N11" s="2">
        <f t="shared" si="0"/>
        <v>9</v>
      </c>
      <c r="P11" s="4" t="s">
        <v>39</v>
      </c>
      <c r="Q11" s="4" t="s">
        <v>39</v>
      </c>
      <c r="R11" s="6" t="s">
        <v>40</v>
      </c>
      <c r="S11" s="7"/>
      <c r="T11" s="6" t="s">
        <v>40</v>
      </c>
      <c r="U11" s="7"/>
      <c r="V11" s="6" t="s">
        <v>40</v>
      </c>
      <c r="W11" s="7"/>
      <c r="X11" s="6" t="s">
        <v>40</v>
      </c>
      <c r="Y11" s="7"/>
      <c r="Z11" s="6" t="s">
        <v>40</v>
      </c>
      <c r="AA11" s="7"/>
      <c r="AB11" s="6" t="s">
        <v>40</v>
      </c>
      <c r="AC11" s="7"/>
      <c r="AD11" s="6" t="s">
        <v>40</v>
      </c>
      <c r="AE11" s="7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1:47" x14ac:dyDescent="0.25">
      <c r="A12" s="2">
        <v>0</v>
      </c>
      <c r="B12" s="2">
        <v>0</v>
      </c>
      <c r="C12" s="2">
        <v>1</v>
      </c>
      <c r="D12" s="2">
        <v>1</v>
      </c>
      <c r="E12" s="2">
        <v>0</v>
      </c>
      <c r="F12" s="2">
        <v>0</v>
      </c>
      <c r="G12" s="2">
        <v>0</v>
      </c>
      <c r="I12" s="2">
        <v>2</v>
      </c>
      <c r="J12" s="2">
        <f>TRUNC(32/I12,0)</f>
        <v>16</v>
      </c>
      <c r="K12" s="2">
        <f t="shared" si="1"/>
        <v>10</v>
      </c>
      <c r="L12" s="2">
        <v>1</v>
      </c>
      <c r="M12" s="2">
        <v>1</v>
      </c>
      <c r="N12" s="2">
        <f t="shared" si="0"/>
        <v>12</v>
      </c>
      <c r="P12" s="4" t="s">
        <v>39</v>
      </c>
      <c r="Q12" s="4" t="s">
        <v>39</v>
      </c>
      <c r="R12" s="6" t="s">
        <v>40</v>
      </c>
      <c r="S12" s="7"/>
      <c r="T12" s="6" t="s">
        <v>41</v>
      </c>
      <c r="U12" s="8"/>
      <c r="V12" s="8"/>
      <c r="W12" s="7"/>
      <c r="X12" s="4" t="s">
        <v>39</v>
      </c>
      <c r="Y12" s="4" t="s">
        <v>39</v>
      </c>
      <c r="Z12" s="4" t="s">
        <v>39</v>
      </c>
      <c r="AA12" s="4" t="s">
        <v>39</v>
      </c>
      <c r="AB12" s="4" t="s">
        <v>39</v>
      </c>
      <c r="AC12" s="4" t="s">
        <v>39</v>
      </c>
      <c r="AD12" s="4" t="s">
        <v>39</v>
      </c>
      <c r="AE12" s="4" t="s">
        <v>39</v>
      </c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1:47" x14ac:dyDescent="0.25">
      <c r="A13" s="2">
        <v>0</v>
      </c>
      <c r="B13" s="2">
        <v>0</v>
      </c>
      <c r="C13" s="2">
        <v>1</v>
      </c>
      <c r="D13" s="2">
        <v>1</v>
      </c>
      <c r="E13" s="2">
        <v>0</v>
      </c>
      <c r="F13" s="2">
        <v>0</v>
      </c>
      <c r="G13" s="2">
        <v>1</v>
      </c>
      <c r="I13" s="2">
        <v>2</v>
      </c>
      <c r="J13" s="2">
        <f t="shared" si="2"/>
        <v>16</v>
      </c>
      <c r="K13" s="2">
        <f t="shared" si="1"/>
        <v>8</v>
      </c>
      <c r="L13" s="2">
        <v>2</v>
      </c>
      <c r="M13" s="2">
        <v>1</v>
      </c>
      <c r="N13" s="2">
        <f t="shared" si="0"/>
        <v>11</v>
      </c>
      <c r="P13" s="4" t="s">
        <v>39</v>
      </c>
      <c r="Q13" s="4" t="s">
        <v>39</v>
      </c>
      <c r="R13" s="6" t="s">
        <v>40</v>
      </c>
      <c r="S13" s="7"/>
      <c r="T13" s="6" t="s">
        <v>41</v>
      </c>
      <c r="U13" s="8"/>
      <c r="V13" s="8"/>
      <c r="W13" s="7"/>
      <c r="X13" s="6" t="s">
        <v>40</v>
      </c>
      <c r="Y13" s="7"/>
      <c r="Z13" s="4" t="s">
        <v>39</v>
      </c>
      <c r="AA13" s="4" t="s">
        <v>39</v>
      </c>
      <c r="AB13" s="4" t="s">
        <v>39</v>
      </c>
      <c r="AC13" s="4" t="s">
        <v>39</v>
      </c>
      <c r="AD13" s="4" t="s">
        <v>39</v>
      </c>
      <c r="AE13" s="4" t="s">
        <v>39</v>
      </c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1:47" x14ac:dyDescent="0.25">
      <c r="A14" s="2">
        <v>0</v>
      </c>
      <c r="B14" s="2">
        <v>0</v>
      </c>
      <c r="C14" s="2">
        <v>1</v>
      </c>
      <c r="D14" s="2">
        <v>1</v>
      </c>
      <c r="E14" s="2">
        <v>0</v>
      </c>
      <c r="F14" s="2">
        <v>1</v>
      </c>
      <c r="G14" s="2">
        <v>0</v>
      </c>
      <c r="I14" s="2">
        <v>2</v>
      </c>
      <c r="J14" s="2">
        <f t="shared" si="2"/>
        <v>16</v>
      </c>
      <c r="K14" s="2">
        <f t="shared" si="1"/>
        <v>6</v>
      </c>
      <c r="L14" s="2">
        <v>3</v>
      </c>
      <c r="M14" s="2">
        <v>1</v>
      </c>
      <c r="N14" s="2">
        <f t="shared" si="0"/>
        <v>10</v>
      </c>
      <c r="P14" s="4" t="s">
        <v>39</v>
      </c>
      <c r="Q14" s="4" t="s">
        <v>39</v>
      </c>
      <c r="R14" s="6" t="s">
        <v>40</v>
      </c>
      <c r="S14" s="7"/>
      <c r="T14" s="6" t="s">
        <v>41</v>
      </c>
      <c r="U14" s="8"/>
      <c r="V14" s="8"/>
      <c r="W14" s="7"/>
      <c r="X14" s="6" t="s">
        <v>40</v>
      </c>
      <c r="Y14" s="7"/>
      <c r="Z14" s="6" t="s">
        <v>40</v>
      </c>
      <c r="AA14" s="7"/>
      <c r="AB14" s="4" t="s">
        <v>39</v>
      </c>
      <c r="AC14" s="4" t="s">
        <v>39</v>
      </c>
      <c r="AD14" s="4" t="s">
        <v>39</v>
      </c>
      <c r="AE14" s="4" t="s">
        <v>39</v>
      </c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1:47" x14ac:dyDescent="0.25">
      <c r="A15" s="2">
        <v>0</v>
      </c>
      <c r="B15" s="2">
        <v>0</v>
      </c>
      <c r="C15" s="2">
        <v>1</v>
      </c>
      <c r="D15" s="2">
        <v>1</v>
      </c>
      <c r="E15" s="2">
        <v>0</v>
      </c>
      <c r="F15" s="2">
        <v>1</v>
      </c>
      <c r="G15" s="2">
        <v>1</v>
      </c>
      <c r="I15" s="2">
        <v>2</v>
      </c>
      <c r="J15" s="2">
        <f t="shared" si="2"/>
        <v>16</v>
      </c>
      <c r="K15" s="2">
        <f t="shared" si="1"/>
        <v>6</v>
      </c>
      <c r="L15" s="2">
        <v>1</v>
      </c>
      <c r="M15" s="2">
        <v>2</v>
      </c>
      <c r="N15" s="2">
        <f t="shared" si="0"/>
        <v>9</v>
      </c>
      <c r="P15" s="4" t="s">
        <v>39</v>
      </c>
      <c r="Q15" s="4" t="s">
        <v>39</v>
      </c>
      <c r="R15" s="6" t="s">
        <v>40</v>
      </c>
      <c r="S15" s="7"/>
      <c r="T15" s="6" t="s">
        <v>41</v>
      </c>
      <c r="U15" s="8"/>
      <c r="V15" s="8"/>
      <c r="W15" s="7"/>
      <c r="X15" s="6" t="s">
        <v>41</v>
      </c>
      <c r="Y15" s="8"/>
      <c r="Z15" s="8"/>
      <c r="AA15" s="7"/>
      <c r="AB15" s="4" t="s">
        <v>39</v>
      </c>
      <c r="AC15" s="4" t="s">
        <v>39</v>
      </c>
      <c r="AD15" s="4" t="s">
        <v>39</v>
      </c>
      <c r="AE15" s="4" t="s">
        <v>39</v>
      </c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1:47" x14ac:dyDescent="0.25">
      <c r="A16" s="2">
        <v>0</v>
      </c>
      <c r="B16" s="2">
        <v>0</v>
      </c>
      <c r="C16" s="2">
        <v>1</v>
      </c>
      <c r="D16" s="2">
        <v>1</v>
      </c>
      <c r="E16" s="2">
        <v>1</v>
      </c>
      <c r="F16" s="2">
        <v>0</v>
      </c>
      <c r="G16" s="2">
        <v>0</v>
      </c>
      <c r="I16" s="2">
        <v>2</v>
      </c>
      <c r="J16" s="2">
        <f t="shared" si="2"/>
        <v>16</v>
      </c>
      <c r="K16" s="2">
        <f t="shared" si="1"/>
        <v>4</v>
      </c>
      <c r="L16" s="2">
        <v>2</v>
      </c>
      <c r="M16" s="2">
        <v>2</v>
      </c>
      <c r="N16" s="2">
        <f t="shared" si="0"/>
        <v>8</v>
      </c>
      <c r="P16" s="4" t="s">
        <v>39</v>
      </c>
      <c r="Q16" s="4" t="s">
        <v>39</v>
      </c>
      <c r="R16" s="6" t="s">
        <v>40</v>
      </c>
      <c r="S16" s="7"/>
      <c r="T16" s="6" t="s">
        <v>41</v>
      </c>
      <c r="U16" s="8"/>
      <c r="V16" s="8"/>
      <c r="W16" s="7"/>
      <c r="X16" s="6" t="s">
        <v>41</v>
      </c>
      <c r="Y16" s="8"/>
      <c r="Z16" s="8"/>
      <c r="AA16" s="7"/>
      <c r="AB16" s="6" t="s">
        <v>40</v>
      </c>
      <c r="AC16" s="7"/>
      <c r="AD16" s="4" t="s">
        <v>39</v>
      </c>
      <c r="AE16" s="4" t="s">
        <v>39</v>
      </c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1:47" x14ac:dyDescent="0.25">
      <c r="A17" s="2">
        <v>0</v>
      </c>
      <c r="B17" s="2">
        <v>0</v>
      </c>
      <c r="C17" s="2">
        <v>1</v>
      </c>
      <c r="D17" s="2">
        <v>1</v>
      </c>
      <c r="E17" s="2">
        <v>1</v>
      </c>
      <c r="F17" s="2">
        <v>0</v>
      </c>
      <c r="G17" s="2">
        <v>1</v>
      </c>
      <c r="I17" s="2">
        <v>2</v>
      </c>
      <c r="J17" s="2">
        <f t="shared" si="2"/>
        <v>16</v>
      </c>
      <c r="K17" s="2">
        <f t="shared" si="1"/>
        <v>2</v>
      </c>
      <c r="L17" s="2">
        <v>5</v>
      </c>
      <c r="M17" s="2">
        <v>1</v>
      </c>
      <c r="N17" s="2">
        <f t="shared" si="0"/>
        <v>8</v>
      </c>
      <c r="P17" s="4" t="s">
        <v>39</v>
      </c>
      <c r="Q17" s="4" t="s">
        <v>39</v>
      </c>
      <c r="R17" s="6" t="s">
        <v>40</v>
      </c>
      <c r="S17" s="7"/>
      <c r="T17" s="6" t="s">
        <v>41</v>
      </c>
      <c r="U17" s="8"/>
      <c r="V17" s="8"/>
      <c r="W17" s="7"/>
      <c r="X17" s="6" t="s">
        <v>40</v>
      </c>
      <c r="Y17" s="7"/>
      <c r="Z17" s="6" t="s">
        <v>40</v>
      </c>
      <c r="AA17" s="7"/>
      <c r="AB17" s="6" t="s">
        <v>40</v>
      </c>
      <c r="AC17" s="7"/>
      <c r="AD17" s="6" t="s">
        <v>40</v>
      </c>
      <c r="AE17" s="7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1:47" x14ac:dyDescent="0.25">
      <c r="A18" s="2">
        <v>0</v>
      </c>
      <c r="B18" s="2">
        <v>0</v>
      </c>
      <c r="C18" s="2">
        <v>1</v>
      </c>
      <c r="D18" s="2">
        <v>1</v>
      </c>
      <c r="E18" s="2">
        <v>1</v>
      </c>
      <c r="F18" s="2">
        <v>1</v>
      </c>
      <c r="G18" s="2">
        <v>0</v>
      </c>
      <c r="I18" s="2">
        <v>2</v>
      </c>
      <c r="J18" s="2">
        <f t="shared" si="2"/>
        <v>16</v>
      </c>
      <c r="K18" s="2">
        <f t="shared" si="1"/>
        <v>2</v>
      </c>
      <c r="L18" s="2">
        <v>3</v>
      </c>
      <c r="M18" s="2">
        <v>2</v>
      </c>
      <c r="N18" s="2">
        <f t="shared" si="0"/>
        <v>7</v>
      </c>
      <c r="P18" s="4" t="s">
        <v>39</v>
      </c>
      <c r="Q18" s="4" t="s">
        <v>39</v>
      </c>
      <c r="R18" s="6" t="s">
        <v>40</v>
      </c>
      <c r="S18" s="7"/>
      <c r="T18" s="6" t="s">
        <v>41</v>
      </c>
      <c r="U18" s="8"/>
      <c r="V18" s="8"/>
      <c r="W18" s="7"/>
      <c r="X18" s="6" t="s">
        <v>41</v>
      </c>
      <c r="Y18" s="8"/>
      <c r="Z18" s="8"/>
      <c r="AA18" s="7"/>
      <c r="AB18" s="6" t="s">
        <v>40</v>
      </c>
      <c r="AC18" s="7"/>
      <c r="AD18" s="6" t="s">
        <v>40</v>
      </c>
      <c r="AE18" s="7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1:47" x14ac:dyDescent="0.25">
      <c r="A19" s="2">
        <v>0</v>
      </c>
      <c r="B19" s="2">
        <v>0</v>
      </c>
      <c r="C19" s="2">
        <v>1</v>
      </c>
      <c r="D19" s="2">
        <v>1</v>
      </c>
      <c r="E19" s="2">
        <v>1</v>
      </c>
      <c r="F19" s="2">
        <v>1</v>
      </c>
      <c r="G19" s="2">
        <v>1</v>
      </c>
      <c r="I19" s="2">
        <v>2</v>
      </c>
      <c r="J19" s="2">
        <f t="shared" si="2"/>
        <v>16</v>
      </c>
      <c r="K19" s="2">
        <f t="shared" si="1"/>
        <v>2</v>
      </c>
      <c r="L19" s="2">
        <v>1</v>
      </c>
      <c r="M19" s="2">
        <v>3</v>
      </c>
      <c r="N19" s="2">
        <f t="shared" si="0"/>
        <v>6</v>
      </c>
      <c r="P19" s="4" t="s">
        <v>39</v>
      </c>
      <c r="Q19" s="4" t="s">
        <v>39</v>
      </c>
      <c r="R19" s="6" t="s">
        <v>40</v>
      </c>
      <c r="S19" s="7"/>
      <c r="T19" s="6" t="s">
        <v>41</v>
      </c>
      <c r="U19" s="8"/>
      <c r="V19" s="8"/>
      <c r="W19" s="7"/>
      <c r="X19" s="6" t="s">
        <v>41</v>
      </c>
      <c r="Y19" s="8"/>
      <c r="Z19" s="8"/>
      <c r="AA19" s="7"/>
      <c r="AB19" s="6" t="s">
        <v>41</v>
      </c>
      <c r="AC19" s="8"/>
      <c r="AD19" s="8"/>
      <c r="AE19" s="7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1:47" x14ac:dyDescent="0.25"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</row>
    <row r="21" spans="1:47" x14ac:dyDescent="0.25">
      <c r="A21" s="2">
        <v>0</v>
      </c>
      <c r="B21" s="2">
        <v>1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I21" s="2">
        <v>3</v>
      </c>
      <c r="J21" s="2">
        <f>TRUNC(32/I21,0)</f>
        <v>10</v>
      </c>
      <c r="K21" s="2">
        <f>J21-(2*L21)-(4*M21)</f>
        <v>10</v>
      </c>
      <c r="L21" s="2">
        <v>0</v>
      </c>
      <c r="M21" s="2">
        <v>0</v>
      </c>
      <c r="N21" s="2">
        <f t="shared" ref="N21:N27" si="3">SUM(K21:M21)</f>
        <v>10</v>
      </c>
      <c r="P21" s="4" t="s">
        <v>39</v>
      </c>
      <c r="Q21" s="4" t="s">
        <v>39</v>
      </c>
      <c r="R21" s="4" t="s">
        <v>39</v>
      </c>
      <c r="S21" s="4" t="s">
        <v>39</v>
      </c>
      <c r="T21" s="4" t="s">
        <v>39</v>
      </c>
      <c r="U21" s="4" t="s">
        <v>39</v>
      </c>
      <c r="V21" s="4" t="s">
        <v>39</v>
      </c>
      <c r="W21" s="4" t="s">
        <v>39</v>
      </c>
      <c r="X21" s="4" t="s">
        <v>39</v>
      </c>
      <c r="Y21" s="4" t="s">
        <v>39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47" x14ac:dyDescent="0.25">
      <c r="A22" s="2">
        <v>0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1</v>
      </c>
      <c r="I22" s="2">
        <v>3</v>
      </c>
      <c r="J22" s="2">
        <f t="shared" ref="J22:J27" si="4">TRUNC(32/I22,0)</f>
        <v>10</v>
      </c>
      <c r="K22" s="2">
        <f t="shared" ref="K22:K27" si="5">J22-(2*L22)-(4*M22)</f>
        <v>8</v>
      </c>
      <c r="L22" s="2">
        <v>1</v>
      </c>
      <c r="M22" s="2">
        <v>0</v>
      </c>
      <c r="N22" s="2">
        <f t="shared" si="3"/>
        <v>9</v>
      </c>
      <c r="P22" s="4" t="s">
        <v>39</v>
      </c>
      <c r="Q22" s="4" t="s">
        <v>39</v>
      </c>
      <c r="R22" s="6" t="s">
        <v>40</v>
      </c>
      <c r="S22" s="7"/>
      <c r="T22" s="4" t="s">
        <v>39</v>
      </c>
      <c r="U22" s="4" t="s">
        <v>39</v>
      </c>
      <c r="V22" s="4" t="s">
        <v>39</v>
      </c>
      <c r="W22" s="4" t="s">
        <v>39</v>
      </c>
      <c r="X22" s="4" t="s">
        <v>39</v>
      </c>
      <c r="Y22" s="4" t="s">
        <v>39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47" x14ac:dyDescent="0.25">
      <c r="A23" s="2">
        <v>0</v>
      </c>
      <c r="B23" s="2">
        <v>1</v>
      </c>
      <c r="C23" s="2">
        <v>0</v>
      </c>
      <c r="D23" s="2">
        <v>0</v>
      </c>
      <c r="E23" s="2">
        <v>0</v>
      </c>
      <c r="F23" s="2">
        <v>1</v>
      </c>
      <c r="G23" s="2">
        <v>0</v>
      </c>
      <c r="I23" s="2">
        <v>3</v>
      </c>
      <c r="J23" s="2">
        <f t="shared" si="4"/>
        <v>10</v>
      </c>
      <c r="K23" s="2">
        <f t="shared" si="5"/>
        <v>6</v>
      </c>
      <c r="L23" s="2">
        <v>2</v>
      </c>
      <c r="M23" s="2">
        <v>0</v>
      </c>
      <c r="N23" s="2">
        <f t="shared" si="3"/>
        <v>8</v>
      </c>
      <c r="P23" s="4" t="s">
        <v>39</v>
      </c>
      <c r="Q23" s="4" t="s">
        <v>39</v>
      </c>
      <c r="R23" s="6" t="s">
        <v>40</v>
      </c>
      <c r="S23" s="7"/>
      <c r="T23" s="6" t="s">
        <v>40</v>
      </c>
      <c r="U23" s="7"/>
      <c r="V23" s="4" t="s">
        <v>39</v>
      </c>
      <c r="W23" s="4" t="s">
        <v>39</v>
      </c>
      <c r="X23" s="4" t="s">
        <v>39</v>
      </c>
      <c r="Y23" s="4" t="s">
        <v>39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47" x14ac:dyDescent="0.25">
      <c r="A24" s="2">
        <v>0</v>
      </c>
      <c r="B24" s="2">
        <v>1</v>
      </c>
      <c r="C24" s="2">
        <v>0</v>
      </c>
      <c r="D24" s="2">
        <v>0</v>
      </c>
      <c r="E24" s="2">
        <v>0</v>
      </c>
      <c r="F24" s="2">
        <v>1</v>
      </c>
      <c r="G24" s="2">
        <v>1</v>
      </c>
      <c r="I24" s="2">
        <v>3</v>
      </c>
      <c r="J24" s="2">
        <f t="shared" si="4"/>
        <v>10</v>
      </c>
      <c r="K24" s="2">
        <f t="shared" si="5"/>
        <v>4</v>
      </c>
      <c r="L24" s="2">
        <v>3</v>
      </c>
      <c r="M24" s="2">
        <v>0</v>
      </c>
      <c r="N24" s="2">
        <f t="shared" si="3"/>
        <v>7</v>
      </c>
      <c r="P24" s="4" t="s">
        <v>39</v>
      </c>
      <c r="Q24" s="4" t="s">
        <v>39</v>
      </c>
      <c r="R24" s="6" t="s">
        <v>40</v>
      </c>
      <c r="S24" s="7"/>
      <c r="T24" s="6" t="s">
        <v>40</v>
      </c>
      <c r="U24" s="7"/>
      <c r="V24" s="6" t="s">
        <v>40</v>
      </c>
      <c r="W24" s="7"/>
      <c r="X24" s="4" t="s">
        <v>39</v>
      </c>
      <c r="Y24" s="4" t="s">
        <v>39</v>
      </c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x14ac:dyDescent="0.25">
      <c r="A25" s="2">
        <v>0</v>
      </c>
      <c r="B25" s="2">
        <v>1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I25" s="2">
        <v>3</v>
      </c>
      <c r="J25" s="2">
        <f t="shared" si="4"/>
        <v>10</v>
      </c>
      <c r="K25" s="2">
        <f t="shared" si="5"/>
        <v>2</v>
      </c>
      <c r="L25" s="2">
        <v>4</v>
      </c>
      <c r="M25" s="2">
        <v>0</v>
      </c>
      <c r="N25" s="2">
        <f t="shared" si="3"/>
        <v>6</v>
      </c>
      <c r="P25" s="4" t="s">
        <v>39</v>
      </c>
      <c r="Q25" s="4" t="s">
        <v>39</v>
      </c>
      <c r="R25" s="6" t="s">
        <v>40</v>
      </c>
      <c r="S25" s="7"/>
      <c r="T25" s="6" t="s">
        <v>40</v>
      </c>
      <c r="U25" s="7"/>
      <c r="V25" s="6" t="s">
        <v>40</v>
      </c>
      <c r="W25" s="7"/>
      <c r="X25" s="6" t="s">
        <v>40</v>
      </c>
      <c r="Y25" s="7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1:47" x14ac:dyDescent="0.25">
      <c r="A26" s="2">
        <v>0</v>
      </c>
      <c r="B26" s="2">
        <v>1</v>
      </c>
      <c r="C26" s="2">
        <v>0</v>
      </c>
      <c r="D26" s="2">
        <v>1</v>
      </c>
      <c r="E26" s="2">
        <v>0</v>
      </c>
      <c r="F26" s="2">
        <v>0</v>
      </c>
      <c r="G26" s="2">
        <v>0</v>
      </c>
      <c r="I26" s="2">
        <v>3</v>
      </c>
      <c r="J26" s="2">
        <f t="shared" si="4"/>
        <v>10</v>
      </c>
      <c r="K26" s="2">
        <f t="shared" si="5"/>
        <v>4</v>
      </c>
      <c r="L26" s="2">
        <v>1</v>
      </c>
      <c r="M26" s="2">
        <v>1</v>
      </c>
      <c r="N26" s="2">
        <f t="shared" si="3"/>
        <v>6</v>
      </c>
      <c r="P26" s="4" t="s">
        <v>39</v>
      </c>
      <c r="Q26" s="4" t="s">
        <v>39</v>
      </c>
      <c r="R26" s="6" t="s">
        <v>40</v>
      </c>
      <c r="S26" s="7"/>
      <c r="T26" s="6" t="s">
        <v>41</v>
      </c>
      <c r="U26" s="8"/>
      <c r="V26" s="8"/>
      <c r="W26" s="7"/>
      <c r="X26" s="4" t="s">
        <v>39</v>
      </c>
      <c r="Y26" s="4" t="s">
        <v>39</v>
      </c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7" x14ac:dyDescent="0.25">
      <c r="A27" s="2">
        <v>0</v>
      </c>
      <c r="B27" s="2">
        <v>1</v>
      </c>
      <c r="C27" s="2">
        <v>0</v>
      </c>
      <c r="D27" s="2">
        <v>1</v>
      </c>
      <c r="E27" s="2">
        <v>0</v>
      </c>
      <c r="F27" s="2">
        <v>0</v>
      </c>
      <c r="G27" s="2">
        <v>1</v>
      </c>
      <c r="I27" s="2">
        <v>3</v>
      </c>
      <c r="J27" s="2">
        <f t="shared" si="4"/>
        <v>10</v>
      </c>
      <c r="K27" s="2">
        <f t="shared" si="5"/>
        <v>2</v>
      </c>
      <c r="L27" s="2">
        <v>2</v>
      </c>
      <c r="M27" s="2">
        <v>1</v>
      </c>
      <c r="N27" s="2">
        <f t="shared" si="3"/>
        <v>5</v>
      </c>
      <c r="P27" s="4" t="s">
        <v>39</v>
      </c>
      <c r="Q27" s="4" t="s">
        <v>39</v>
      </c>
      <c r="R27" s="6" t="s">
        <v>40</v>
      </c>
      <c r="S27" s="7"/>
      <c r="T27" s="6" t="s">
        <v>41</v>
      </c>
      <c r="U27" s="8"/>
      <c r="V27" s="8"/>
      <c r="W27" s="7"/>
      <c r="X27" s="6" t="s">
        <v>40</v>
      </c>
      <c r="Y27" s="7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47" x14ac:dyDescent="0.25"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x14ac:dyDescent="0.25">
      <c r="A29" s="2">
        <v>0</v>
      </c>
      <c r="B29" s="2">
        <v>1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I29" s="2">
        <v>4</v>
      </c>
      <c r="J29" s="2">
        <f>TRUNC(32/I29,0)</f>
        <v>8</v>
      </c>
      <c r="K29" s="2">
        <f>J29-(2*L29)-(4*M29)</f>
        <v>8</v>
      </c>
      <c r="L29" s="2">
        <v>0</v>
      </c>
      <c r="M29" s="2">
        <v>0</v>
      </c>
      <c r="N29" s="2">
        <f t="shared" ref="N29:N33" si="6">SUM(K29:M29)</f>
        <v>8</v>
      </c>
      <c r="P29" s="4" t="s">
        <v>39</v>
      </c>
      <c r="Q29" s="4" t="s">
        <v>39</v>
      </c>
      <c r="R29" s="4" t="s">
        <v>39</v>
      </c>
      <c r="S29" s="4" t="s">
        <v>39</v>
      </c>
      <c r="T29" s="4" t="s">
        <v>39</v>
      </c>
      <c r="U29" s="4" t="s">
        <v>39</v>
      </c>
      <c r="V29" s="4" t="s">
        <v>39</v>
      </c>
      <c r="W29" s="4" t="s">
        <v>39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1:47" x14ac:dyDescent="0.25">
      <c r="A30" s="2">
        <v>0</v>
      </c>
      <c r="B30" s="2">
        <v>1</v>
      </c>
      <c r="C30" s="2">
        <v>1</v>
      </c>
      <c r="D30" s="2">
        <v>0</v>
      </c>
      <c r="E30" s="2">
        <v>0</v>
      </c>
      <c r="F30" s="2">
        <v>0</v>
      </c>
      <c r="G30" s="2">
        <v>1</v>
      </c>
      <c r="I30" s="2">
        <v>4</v>
      </c>
      <c r="J30" s="2">
        <f t="shared" ref="J30:J33" si="7">TRUNC(32/I30,0)</f>
        <v>8</v>
      </c>
      <c r="K30" s="2">
        <f t="shared" ref="K30:K33" si="8">J30-(2*L30)-(4*M30)</f>
        <v>6</v>
      </c>
      <c r="L30" s="2">
        <v>1</v>
      </c>
      <c r="M30" s="2">
        <v>0</v>
      </c>
      <c r="N30" s="2">
        <f t="shared" si="6"/>
        <v>7</v>
      </c>
      <c r="P30" s="4" t="s">
        <v>39</v>
      </c>
      <c r="Q30" s="4" t="s">
        <v>39</v>
      </c>
      <c r="R30" s="6" t="s">
        <v>40</v>
      </c>
      <c r="S30" s="7"/>
      <c r="T30" s="4" t="s">
        <v>39</v>
      </c>
      <c r="U30" s="4" t="s">
        <v>39</v>
      </c>
      <c r="V30" s="4" t="s">
        <v>39</v>
      </c>
      <c r="W30" s="4" t="s">
        <v>39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1:47" x14ac:dyDescent="0.25">
      <c r="A31" s="2">
        <v>0</v>
      </c>
      <c r="B31" s="2">
        <v>1</v>
      </c>
      <c r="C31" s="2">
        <v>1</v>
      </c>
      <c r="D31" s="2">
        <v>0</v>
      </c>
      <c r="E31" s="2">
        <v>0</v>
      </c>
      <c r="F31" s="2">
        <v>1</v>
      </c>
      <c r="G31" s="2">
        <v>0</v>
      </c>
      <c r="I31" s="2">
        <v>4</v>
      </c>
      <c r="J31" s="2">
        <f t="shared" si="7"/>
        <v>8</v>
      </c>
      <c r="K31" s="2">
        <f t="shared" si="8"/>
        <v>4</v>
      </c>
      <c r="L31" s="2">
        <v>2</v>
      </c>
      <c r="M31" s="2">
        <v>0</v>
      </c>
      <c r="N31" s="2">
        <f t="shared" si="6"/>
        <v>6</v>
      </c>
      <c r="P31" s="4" t="s">
        <v>39</v>
      </c>
      <c r="Q31" s="4" t="s">
        <v>39</v>
      </c>
      <c r="R31" s="6" t="s">
        <v>40</v>
      </c>
      <c r="S31" s="7"/>
      <c r="T31" s="6" t="s">
        <v>40</v>
      </c>
      <c r="U31" s="7"/>
      <c r="V31" s="4" t="s">
        <v>39</v>
      </c>
      <c r="W31" s="4" t="s">
        <v>39</v>
      </c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1:47" x14ac:dyDescent="0.25">
      <c r="A32" s="2">
        <v>0</v>
      </c>
      <c r="B32" s="2">
        <v>1</v>
      </c>
      <c r="C32" s="2">
        <v>1</v>
      </c>
      <c r="D32" s="2">
        <v>0</v>
      </c>
      <c r="E32" s="2">
        <v>0</v>
      </c>
      <c r="F32" s="2">
        <v>1</v>
      </c>
      <c r="G32" s="2">
        <v>1</v>
      </c>
      <c r="I32" s="2">
        <v>4</v>
      </c>
      <c r="J32" s="2">
        <f t="shared" si="7"/>
        <v>8</v>
      </c>
      <c r="K32" s="2">
        <f t="shared" si="8"/>
        <v>2</v>
      </c>
      <c r="L32" s="2">
        <v>3</v>
      </c>
      <c r="M32" s="2">
        <v>0</v>
      </c>
      <c r="N32" s="2">
        <f t="shared" si="6"/>
        <v>5</v>
      </c>
      <c r="P32" s="4" t="s">
        <v>39</v>
      </c>
      <c r="Q32" s="4" t="s">
        <v>39</v>
      </c>
      <c r="R32" s="6" t="s">
        <v>40</v>
      </c>
      <c r="S32" s="7"/>
      <c r="T32" s="6" t="s">
        <v>40</v>
      </c>
      <c r="U32" s="7"/>
      <c r="V32" s="6" t="s">
        <v>40</v>
      </c>
      <c r="W32" s="7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1:47" x14ac:dyDescent="0.25">
      <c r="A33" s="2">
        <v>0</v>
      </c>
      <c r="B33" s="2">
        <v>1</v>
      </c>
      <c r="C33" s="2">
        <v>1</v>
      </c>
      <c r="D33" s="2">
        <v>1</v>
      </c>
      <c r="E33" s="2">
        <v>0</v>
      </c>
      <c r="F33" s="2">
        <v>0</v>
      </c>
      <c r="G33" s="2">
        <v>0</v>
      </c>
      <c r="I33" s="2">
        <v>4</v>
      </c>
      <c r="J33" s="2">
        <f t="shared" si="7"/>
        <v>8</v>
      </c>
      <c r="K33" s="2">
        <f t="shared" si="8"/>
        <v>2</v>
      </c>
      <c r="L33" s="2">
        <v>1</v>
      </c>
      <c r="M33" s="2">
        <v>1</v>
      </c>
      <c r="N33" s="2">
        <f t="shared" si="6"/>
        <v>4</v>
      </c>
      <c r="P33" s="4" t="s">
        <v>39</v>
      </c>
      <c r="Q33" s="4" t="s">
        <v>39</v>
      </c>
      <c r="R33" s="6" t="s">
        <v>40</v>
      </c>
      <c r="S33" s="7"/>
      <c r="T33" s="6" t="s">
        <v>41</v>
      </c>
      <c r="U33" s="8"/>
      <c r="V33" s="8"/>
      <c r="W33" s="7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5" spans="1:47" x14ac:dyDescent="0.25">
      <c r="A35" s="2">
        <v>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I35" s="2">
        <v>5</v>
      </c>
      <c r="J35" s="2">
        <f>TRUNC(32/I35,0)</f>
        <v>6</v>
      </c>
      <c r="K35" s="2">
        <f>J35-(2*L35)-(4*M35)</f>
        <v>6</v>
      </c>
      <c r="L35" s="2">
        <v>0</v>
      </c>
      <c r="M35" s="2">
        <v>0</v>
      </c>
      <c r="N35" s="2">
        <f t="shared" ref="N35:N37" si="9">SUM(K35:M35)</f>
        <v>6</v>
      </c>
      <c r="P35" s="4" t="s">
        <v>39</v>
      </c>
      <c r="Q35" s="4" t="s">
        <v>39</v>
      </c>
      <c r="R35" s="4" t="s">
        <v>39</v>
      </c>
      <c r="S35" s="4" t="s">
        <v>39</v>
      </c>
      <c r="T35" s="4" t="s">
        <v>39</v>
      </c>
      <c r="U35" s="4" t="s">
        <v>39</v>
      </c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1:47" x14ac:dyDescent="0.25">
      <c r="A36" s="2">
        <v>1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1</v>
      </c>
      <c r="I36" s="2">
        <v>5</v>
      </c>
      <c r="J36" s="2">
        <f>TRUNC(32/I36,0)</f>
        <v>6</v>
      </c>
      <c r="K36" s="2">
        <f>J36-(2*L36)-(4*M36)</f>
        <v>4</v>
      </c>
      <c r="L36" s="2">
        <v>1</v>
      </c>
      <c r="M36" s="2">
        <v>0</v>
      </c>
      <c r="N36" s="2">
        <f t="shared" si="9"/>
        <v>5</v>
      </c>
      <c r="P36" s="4" t="s">
        <v>39</v>
      </c>
      <c r="Q36" s="4" t="s">
        <v>39</v>
      </c>
      <c r="R36" s="6" t="s">
        <v>40</v>
      </c>
      <c r="S36" s="7"/>
      <c r="T36" s="4" t="s">
        <v>39</v>
      </c>
      <c r="U36" s="4" t="s">
        <v>39</v>
      </c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</row>
    <row r="37" spans="1:47" x14ac:dyDescent="0.25">
      <c r="A37" s="2">
        <v>1</v>
      </c>
      <c r="B37" s="2">
        <v>0</v>
      </c>
      <c r="C37" s="2">
        <v>0</v>
      </c>
      <c r="D37" s="2">
        <v>0</v>
      </c>
      <c r="E37" s="2">
        <v>0</v>
      </c>
      <c r="F37" s="2">
        <v>1</v>
      </c>
      <c r="G37" s="2">
        <v>0</v>
      </c>
      <c r="I37" s="2">
        <v>5</v>
      </c>
      <c r="J37" s="2">
        <f t="shared" ref="J37" si="10">TRUNC(32/I37,0)</f>
        <v>6</v>
      </c>
      <c r="K37" s="2">
        <f t="shared" ref="K37" si="11">J37-(2*L37)-(4*M37)</f>
        <v>2</v>
      </c>
      <c r="L37" s="2">
        <v>2</v>
      </c>
      <c r="M37" s="2">
        <v>0</v>
      </c>
      <c r="N37" s="2">
        <f t="shared" si="9"/>
        <v>4</v>
      </c>
      <c r="P37" s="4" t="s">
        <v>39</v>
      </c>
      <c r="Q37" s="4" t="s">
        <v>39</v>
      </c>
      <c r="R37" s="6" t="s">
        <v>40</v>
      </c>
      <c r="S37" s="7"/>
      <c r="T37" s="6" t="s">
        <v>40</v>
      </c>
      <c r="U37" s="7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</row>
    <row r="39" spans="1:47" x14ac:dyDescent="0.25">
      <c r="A39" s="2">
        <v>1</v>
      </c>
      <c r="B39" s="2">
        <v>0</v>
      </c>
      <c r="C39" s="2">
        <v>1</v>
      </c>
      <c r="D39" s="2">
        <v>0</v>
      </c>
      <c r="E39" s="2">
        <v>0</v>
      </c>
      <c r="F39" s="2">
        <v>0</v>
      </c>
      <c r="G39" s="2">
        <v>0</v>
      </c>
      <c r="I39" s="2">
        <v>6</v>
      </c>
      <c r="J39" s="2">
        <f>TRUNC(32/I39,0)</f>
        <v>5</v>
      </c>
      <c r="K39" s="2">
        <f>J39-(2*L39)-(4*M39)</f>
        <v>5</v>
      </c>
      <c r="L39" s="2">
        <v>0</v>
      </c>
      <c r="M39" s="2">
        <v>0</v>
      </c>
      <c r="N39" s="2">
        <f t="shared" ref="N39:N40" si="12">SUM(K39:M39)</f>
        <v>5</v>
      </c>
      <c r="P39" s="4" t="s">
        <v>39</v>
      </c>
      <c r="Q39" s="4" t="s">
        <v>39</v>
      </c>
      <c r="R39" s="4" t="s">
        <v>39</v>
      </c>
      <c r="S39" s="4" t="s">
        <v>39</v>
      </c>
      <c r="T39" s="4" t="s">
        <v>39</v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</row>
    <row r="40" spans="1:47" x14ac:dyDescent="0.25">
      <c r="A40" s="2">
        <v>1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1</v>
      </c>
      <c r="I40" s="2">
        <v>6</v>
      </c>
      <c r="J40" s="2">
        <f>TRUNC(32/I40,0)</f>
        <v>5</v>
      </c>
      <c r="K40" s="2">
        <f>J40-(2*L40)-(4*M40)</f>
        <v>3</v>
      </c>
      <c r="L40" s="2">
        <v>1</v>
      </c>
      <c r="M40" s="2">
        <v>0</v>
      </c>
      <c r="N40" s="2">
        <f t="shared" si="12"/>
        <v>4</v>
      </c>
      <c r="P40" s="4" t="s">
        <v>39</v>
      </c>
      <c r="Q40" s="4" t="s">
        <v>39</v>
      </c>
      <c r="R40" s="6" t="s">
        <v>40</v>
      </c>
      <c r="S40" s="7"/>
      <c r="T40" s="4" t="s">
        <v>39</v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</row>
    <row r="42" spans="1:47" x14ac:dyDescent="0.25">
      <c r="A42" s="2">
        <v>1</v>
      </c>
      <c r="B42" s="2">
        <v>1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I42" s="2">
        <v>8</v>
      </c>
      <c r="J42" s="2">
        <f>TRUNC(32/I42,0)</f>
        <v>4</v>
      </c>
      <c r="K42" s="2">
        <f>J42-(2*L42)-(4*M42)</f>
        <v>4</v>
      </c>
      <c r="L42" s="2">
        <v>0</v>
      </c>
      <c r="M42" s="2">
        <v>0</v>
      </c>
      <c r="N42" s="2">
        <f t="shared" ref="N42:N43" si="13">SUM(K42:M42)</f>
        <v>4</v>
      </c>
      <c r="P42" s="4" t="s">
        <v>39</v>
      </c>
      <c r="Q42" s="4" t="s">
        <v>39</v>
      </c>
      <c r="R42" s="4" t="s">
        <v>39</v>
      </c>
      <c r="S42" s="4" t="s">
        <v>39</v>
      </c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  <row r="43" spans="1:47" x14ac:dyDescent="0.25">
      <c r="A43" s="2">
        <v>1</v>
      </c>
      <c r="B43" s="2">
        <v>1</v>
      </c>
      <c r="C43" s="2">
        <v>0</v>
      </c>
      <c r="D43" s="2">
        <v>0</v>
      </c>
      <c r="E43" s="2">
        <v>0</v>
      </c>
      <c r="F43" s="2">
        <v>0</v>
      </c>
      <c r="G43" s="2">
        <v>1</v>
      </c>
      <c r="I43" s="2">
        <v>8</v>
      </c>
      <c r="J43" s="2">
        <f>TRUNC(32/I43,0)</f>
        <v>4</v>
      </c>
      <c r="K43" s="2">
        <f>J43-(2*L43)-(4*M43)</f>
        <v>2</v>
      </c>
      <c r="L43" s="2">
        <v>1</v>
      </c>
      <c r="M43" s="2">
        <v>0</v>
      </c>
      <c r="N43" s="2">
        <f t="shared" si="13"/>
        <v>3</v>
      </c>
      <c r="P43" s="4" t="s">
        <v>39</v>
      </c>
      <c r="Q43" s="4" t="s">
        <v>39</v>
      </c>
      <c r="R43" s="6" t="s">
        <v>40</v>
      </c>
      <c r="S43" s="7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</row>
    <row r="45" spans="1:47" x14ac:dyDescent="0.25">
      <c r="A45" s="2">
        <v>1</v>
      </c>
      <c r="B45" s="2">
        <v>1</v>
      </c>
      <c r="C45" s="2">
        <v>1</v>
      </c>
      <c r="D45" s="2">
        <v>0</v>
      </c>
      <c r="E45" s="2">
        <v>0</v>
      </c>
      <c r="F45" s="2">
        <v>0</v>
      </c>
      <c r="G45" s="2">
        <v>0</v>
      </c>
      <c r="I45" s="2">
        <v>10</v>
      </c>
      <c r="J45" s="2">
        <f>TRUNC(32/I45,0)</f>
        <v>3</v>
      </c>
      <c r="K45" s="2">
        <f>J45-(2*L45)-(4*M45)</f>
        <v>3</v>
      </c>
      <c r="L45" s="2">
        <v>0</v>
      </c>
      <c r="M45" s="2">
        <v>0</v>
      </c>
      <c r="N45" s="2">
        <f>SUM(K45:M45)</f>
        <v>3</v>
      </c>
      <c r="P45" s="4" t="s">
        <v>39</v>
      </c>
      <c r="Q45" s="4" t="s">
        <v>39</v>
      </c>
      <c r="R45" s="4" t="s">
        <v>39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</row>
    <row r="47" spans="1:47" x14ac:dyDescent="0.25">
      <c r="A47" s="2">
        <v>1</v>
      </c>
      <c r="B47" s="2">
        <v>1</v>
      </c>
      <c r="C47" s="2">
        <v>1</v>
      </c>
      <c r="D47" s="2">
        <v>1</v>
      </c>
      <c r="E47" s="2">
        <v>1</v>
      </c>
      <c r="F47" s="2">
        <v>1</v>
      </c>
      <c r="G47" s="2">
        <v>0</v>
      </c>
      <c r="I47" s="2">
        <v>16</v>
      </c>
      <c r="J47" s="2">
        <f>TRUNC(32/I47,0)</f>
        <v>2</v>
      </c>
      <c r="K47" s="2">
        <f>J47-(2*L47)-(4*M47)</f>
        <v>2</v>
      </c>
      <c r="L47" s="2">
        <v>0</v>
      </c>
      <c r="M47" s="2">
        <v>0</v>
      </c>
      <c r="N47" s="2">
        <f>SUM(K47:M47)</f>
        <v>2</v>
      </c>
      <c r="P47" s="4" t="s">
        <v>39</v>
      </c>
      <c r="Q47" s="4" t="s">
        <v>39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</row>
    <row r="49" spans="1:47" x14ac:dyDescent="0.25">
      <c r="A49" s="2">
        <v>1</v>
      </c>
      <c r="B49" s="2">
        <v>1</v>
      </c>
      <c r="C49" s="2">
        <v>1</v>
      </c>
      <c r="D49" s="2">
        <v>1</v>
      </c>
      <c r="E49" s="2">
        <v>1</v>
      </c>
      <c r="F49" s="2">
        <v>1</v>
      </c>
      <c r="G49" s="2">
        <v>1</v>
      </c>
      <c r="I49" s="2">
        <v>32</v>
      </c>
      <c r="J49" s="2">
        <f>TRUNC(32/I49,0)</f>
        <v>1</v>
      </c>
      <c r="K49" s="2">
        <f>J49-(2*L49)-(4*M49)</f>
        <v>1</v>
      </c>
      <c r="L49" s="2">
        <v>0</v>
      </c>
      <c r="M49" s="2">
        <v>0</v>
      </c>
      <c r="N49" s="2">
        <f>SUM(K49:M49)</f>
        <v>1</v>
      </c>
      <c r="P49" s="4" t="s">
        <v>39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</row>
  </sheetData>
  <mergeCells count="1">
    <mergeCell ref="A1:G1"/>
  </mergeCells>
  <phoneticPr fontId="2" type="noConversion"/>
  <pageMargins left="0.75" right="0.75" top="1" bottom="1" header="0.5" footer="0.5"/>
  <pageSetup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zoomScale="200" zoomScaleNormal="200" zoomScalePageLayoutView="200" workbookViewId="0">
      <selection activeCell="C13" sqref="C13"/>
    </sheetView>
  </sheetViews>
  <sheetFormatPr defaultColWidth="11.6328125" defaultRowHeight="15" x14ac:dyDescent="0.25"/>
  <cols>
    <col min="1" max="16384" width="11.6328125" style="2"/>
  </cols>
  <sheetData>
    <row r="1" spans="1:5" x14ac:dyDescent="0.25">
      <c r="A1" s="2" t="s">
        <v>42</v>
      </c>
      <c r="B1" s="2" t="s">
        <v>43</v>
      </c>
      <c r="C1" s="2" t="s">
        <v>44</v>
      </c>
      <c r="D1" s="2" t="s">
        <v>45</v>
      </c>
      <c r="E1" s="2" t="s">
        <v>46</v>
      </c>
    </row>
    <row r="2" spans="1:5" x14ac:dyDescent="0.25">
      <c r="A2" s="2">
        <v>1</v>
      </c>
      <c r="B2" s="2">
        <f t="shared" ref="B2:B11" si="0">TRUNC(32/A2)</f>
        <v>32</v>
      </c>
      <c r="C2" s="2">
        <f t="shared" ref="C2:C11" si="1">B2*A2</f>
        <v>32</v>
      </c>
      <c r="D2" s="2">
        <f t="shared" ref="D2:D11" si="2">32-C2</f>
        <v>0</v>
      </c>
      <c r="E2" s="2">
        <v>0</v>
      </c>
    </row>
    <row r="3" spans="1:5" x14ac:dyDescent="0.25">
      <c r="A3" s="2">
        <v>2</v>
      </c>
      <c r="B3" s="2">
        <f t="shared" si="0"/>
        <v>16</v>
      </c>
      <c r="C3" s="2">
        <f t="shared" si="1"/>
        <v>32</v>
      </c>
      <c r="D3" s="2">
        <f t="shared" si="2"/>
        <v>0</v>
      </c>
      <c r="E3" s="2">
        <f t="shared" ref="E3:E11" si="3">TRUNC(((B3-1)*A3+D3)/ROUNDUP((A3/2),0))</f>
        <v>30</v>
      </c>
    </row>
    <row r="4" spans="1:5" x14ac:dyDescent="0.25">
      <c r="A4" s="2">
        <v>3</v>
      </c>
      <c r="B4" s="2">
        <f t="shared" si="0"/>
        <v>10</v>
      </c>
      <c r="C4" s="2">
        <f t="shared" si="1"/>
        <v>30</v>
      </c>
      <c r="D4" s="2">
        <f t="shared" si="2"/>
        <v>2</v>
      </c>
      <c r="E4" s="2">
        <f t="shared" si="3"/>
        <v>14</v>
      </c>
    </row>
    <row r="5" spans="1:5" x14ac:dyDescent="0.25">
      <c r="A5" s="2">
        <v>4</v>
      </c>
      <c r="B5" s="2">
        <f t="shared" si="0"/>
        <v>8</v>
      </c>
      <c r="C5" s="2">
        <f t="shared" si="1"/>
        <v>32</v>
      </c>
      <c r="D5" s="2">
        <f t="shared" si="2"/>
        <v>0</v>
      </c>
      <c r="E5" s="2">
        <f t="shared" si="3"/>
        <v>14</v>
      </c>
    </row>
    <row r="6" spans="1:5" x14ac:dyDescent="0.25">
      <c r="A6" s="2">
        <v>5</v>
      </c>
      <c r="B6" s="2">
        <f t="shared" si="0"/>
        <v>6</v>
      </c>
      <c r="C6" s="2">
        <f t="shared" si="1"/>
        <v>30</v>
      </c>
      <c r="D6" s="2">
        <f t="shared" si="2"/>
        <v>2</v>
      </c>
      <c r="E6" s="2">
        <f t="shared" si="3"/>
        <v>9</v>
      </c>
    </row>
    <row r="7" spans="1:5" x14ac:dyDescent="0.25">
      <c r="A7" s="2">
        <v>6</v>
      </c>
      <c r="B7" s="2">
        <f t="shared" si="0"/>
        <v>5</v>
      </c>
      <c r="C7" s="2">
        <f t="shared" si="1"/>
        <v>30</v>
      </c>
      <c r="D7" s="2">
        <f t="shared" si="2"/>
        <v>2</v>
      </c>
      <c r="E7" s="2">
        <f t="shared" si="3"/>
        <v>8</v>
      </c>
    </row>
    <row r="8" spans="1:5" x14ac:dyDescent="0.25">
      <c r="A8" s="2">
        <v>8</v>
      </c>
      <c r="B8" s="2">
        <f t="shared" si="0"/>
        <v>4</v>
      </c>
      <c r="C8" s="2">
        <f t="shared" si="1"/>
        <v>32</v>
      </c>
      <c r="D8" s="2">
        <f t="shared" si="2"/>
        <v>0</v>
      </c>
      <c r="E8" s="2">
        <f t="shared" si="3"/>
        <v>6</v>
      </c>
    </row>
    <row r="9" spans="1:5" x14ac:dyDescent="0.25">
      <c r="A9" s="2">
        <v>10</v>
      </c>
      <c r="B9" s="2">
        <f t="shared" si="0"/>
        <v>3</v>
      </c>
      <c r="C9" s="2">
        <f t="shared" si="1"/>
        <v>30</v>
      </c>
      <c r="D9" s="2">
        <f t="shared" si="2"/>
        <v>2</v>
      </c>
      <c r="E9" s="2">
        <f t="shared" si="3"/>
        <v>4</v>
      </c>
    </row>
    <row r="10" spans="1:5" x14ac:dyDescent="0.25">
      <c r="A10" s="2">
        <v>16</v>
      </c>
      <c r="B10" s="2">
        <f t="shared" si="0"/>
        <v>2</v>
      </c>
      <c r="C10" s="2">
        <f t="shared" si="1"/>
        <v>32</v>
      </c>
      <c r="D10" s="2">
        <f t="shared" si="2"/>
        <v>0</v>
      </c>
      <c r="E10" s="2">
        <f t="shared" si="3"/>
        <v>2</v>
      </c>
    </row>
    <row r="11" spans="1:5" x14ac:dyDescent="0.25">
      <c r="A11" s="2">
        <v>32</v>
      </c>
      <c r="B11" s="2">
        <f t="shared" si="0"/>
        <v>1</v>
      </c>
      <c r="C11" s="2">
        <f t="shared" si="1"/>
        <v>32</v>
      </c>
      <c r="D11" s="2">
        <f t="shared" si="2"/>
        <v>0</v>
      </c>
      <c r="E11" s="2">
        <f t="shared" si="3"/>
        <v>0</v>
      </c>
    </row>
  </sheetData>
  <phoneticPr fontId="2" type="noConversion"/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zoomScale="200" zoomScaleNormal="200" zoomScalePageLayoutView="200" workbookViewId="0">
      <selection activeCell="E4" sqref="E4"/>
    </sheetView>
  </sheetViews>
  <sheetFormatPr defaultColWidth="11.6328125" defaultRowHeight="15" x14ac:dyDescent="0.25"/>
  <cols>
    <col min="1" max="16384" width="11.6328125" style="2"/>
  </cols>
  <sheetData>
    <row r="1" spans="1:6" x14ac:dyDescent="0.25">
      <c r="A1" s="2" t="s">
        <v>42</v>
      </c>
      <c r="B1" s="2" t="s">
        <v>43</v>
      </c>
      <c r="C1" s="2" t="s">
        <v>44</v>
      </c>
      <c r="D1" s="2" t="s">
        <v>45</v>
      </c>
      <c r="E1" s="2" t="s">
        <v>47</v>
      </c>
      <c r="F1" s="2" t="s">
        <v>48</v>
      </c>
    </row>
    <row r="2" spans="1:6" x14ac:dyDescent="0.25">
      <c r="A2" s="2">
        <v>1</v>
      </c>
      <c r="B2" s="2">
        <f t="shared" ref="B2:B11" si="0">TRUNC(32/A2)</f>
        <v>32</v>
      </c>
      <c r="C2" s="2">
        <f t="shared" ref="C2:C11" si="1">B2*A2</f>
        <v>32</v>
      </c>
      <c r="D2" s="2">
        <f t="shared" ref="D2:D11" si="2">32-C2</f>
        <v>0</v>
      </c>
      <c r="E2" s="2">
        <v>0</v>
      </c>
      <c r="F2" s="2">
        <v>0</v>
      </c>
    </row>
    <row r="3" spans="1:6" x14ac:dyDescent="0.25">
      <c r="A3" s="2">
        <v>2</v>
      </c>
      <c r="B3" s="2">
        <f t="shared" si="0"/>
        <v>16</v>
      </c>
      <c r="C3" s="2">
        <f t="shared" si="1"/>
        <v>32</v>
      </c>
      <c r="D3" s="2">
        <f t="shared" si="2"/>
        <v>0</v>
      </c>
      <c r="E3" s="2">
        <f>TRUNC((B3-1)/2,0)</f>
        <v>7</v>
      </c>
      <c r="F3" s="2">
        <f>TRUNC(E3/2)</f>
        <v>3</v>
      </c>
    </row>
    <row r="4" spans="1:6" x14ac:dyDescent="0.25">
      <c r="A4" s="2">
        <v>3</v>
      </c>
      <c r="B4" s="2">
        <f t="shared" si="0"/>
        <v>10</v>
      </c>
      <c r="C4" s="2">
        <f t="shared" si="1"/>
        <v>30</v>
      </c>
      <c r="D4" s="2">
        <f t="shared" si="2"/>
        <v>2</v>
      </c>
      <c r="E4" s="2">
        <f t="shared" ref="E4:E11" si="3">TRUNC((B4-1)/2,0)</f>
        <v>4</v>
      </c>
      <c r="F4" s="2">
        <f t="shared" ref="F4:F10" si="4">TRUNC(E4/2)</f>
        <v>2</v>
      </c>
    </row>
    <row r="5" spans="1:6" x14ac:dyDescent="0.25">
      <c r="A5" s="2">
        <v>4</v>
      </c>
      <c r="B5" s="2">
        <f t="shared" si="0"/>
        <v>8</v>
      </c>
      <c r="C5" s="2">
        <f t="shared" si="1"/>
        <v>32</v>
      </c>
      <c r="D5" s="2">
        <f t="shared" si="2"/>
        <v>0</v>
      </c>
      <c r="E5" s="2">
        <f t="shared" si="3"/>
        <v>3</v>
      </c>
      <c r="F5" s="2">
        <f t="shared" si="4"/>
        <v>1</v>
      </c>
    </row>
    <row r="6" spans="1:6" x14ac:dyDescent="0.25">
      <c r="A6" s="2">
        <v>5</v>
      </c>
      <c r="B6" s="2">
        <f t="shared" si="0"/>
        <v>6</v>
      </c>
      <c r="C6" s="2">
        <f t="shared" si="1"/>
        <v>30</v>
      </c>
      <c r="D6" s="2">
        <f t="shared" si="2"/>
        <v>2</v>
      </c>
      <c r="E6" s="2">
        <f t="shared" si="3"/>
        <v>2</v>
      </c>
      <c r="F6" s="2">
        <f t="shared" si="4"/>
        <v>1</v>
      </c>
    </row>
    <row r="7" spans="1:6" x14ac:dyDescent="0.25">
      <c r="A7" s="2">
        <v>6</v>
      </c>
      <c r="B7" s="2">
        <f t="shared" si="0"/>
        <v>5</v>
      </c>
      <c r="C7" s="2">
        <f t="shared" si="1"/>
        <v>30</v>
      </c>
      <c r="D7" s="2">
        <f t="shared" si="2"/>
        <v>2</v>
      </c>
      <c r="E7" s="2">
        <f t="shared" si="3"/>
        <v>2</v>
      </c>
      <c r="F7" s="2">
        <f t="shared" si="4"/>
        <v>1</v>
      </c>
    </row>
    <row r="8" spans="1:6" x14ac:dyDescent="0.25">
      <c r="A8" s="2">
        <v>8</v>
      </c>
      <c r="B8" s="2">
        <f t="shared" si="0"/>
        <v>4</v>
      </c>
      <c r="C8" s="2">
        <f t="shared" si="1"/>
        <v>32</v>
      </c>
      <c r="D8" s="2">
        <f t="shared" si="2"/>
        <v>0</v>
      </c>
      <c r="E8" s="2">
        <f t="shared" si="3"/>
        <v>1</v>
      </c>
      <c r="F8" s="2">
        <f t="shared" si="4"/>
        <v>0</v>
      </c>
    </row>
    <row r="9" spans="1:6" x14ac:dyDescent="0.25">
      <c r="A9" s="2">
        <v>10</v>
      </c>
      <c r="B9" s="2">
        <f t="shared" si="0"/>
        <v>3</v>
      </c>
      <c r="C9" s="2">
        <f t="shared" si="1"/>
        <v>30</v>
      </c>
      <c r="D9" s="2">
        <f t="shared" si="2"/>
        <v>2</v>
      </c>
      <c r="E9" s="2">
        <f t="shared" si="3"/>
        <v>1</v>
      </c>
      <c r="F9" s="2">
        <f t="shared" si="4"/>
        <v>0</v>
      </c>
    </row>
    <row r="10" spans="1:6" x14ac:dyDescent="0.25">
      <c r="A10" s="2">
        <v>16</v>
      </c>
      <c r="B10" s="2">
        <f t="shared" si="0"/>
        <v>2</v>
      </c>
      <c r="C10" s="2">
        <f t="shared" si="1"/>
        <v>32</v>
      </c>
      <c r="D10" s="2">
        <f t="shared" si="2"/>
        <v>0</v>
      </c>
      <c r="E10" s="2">
        <f t="shared" si="3"/>
        <v>0</v>
      </c>
      <c r="F10" s="2">
        <f t="shared" si="4"/>
        <v>0</v>
      </c>
    </row>
    <row r="11" spans="1:6" x14ac:dyDescent="0.25">
      <c r="A11" s="2">
        <v>32</v>
      </c>
      <c r="B11" s="2">
        <f t="shared" si="0"/>
        <v>1</v>
      </c>
      <c r="C11" s="2">
        <f t="shared" si="1"/>
        <v>32</v>
      </c>
      <c r="D11" s="2">
        <f t="shared" si="2"/>
        <v>0</v>
      </c>
      <c r="E11" s="2">
        <f t="shared" si="3"/>
        <v>0</v>
      </c>
      <c r="F11" s="2">
        <v>0</v>
      </c>
    </row>
  </sheetData>
  <phoneticPr fontId="2" type="noConversion"/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28"/>
  <sheetViews>
    <sheetView zoomScale="125" zoomScaleNormal="125" zoomScalePageLayoutView="125" workbookViewId="0">
      <selection activeCell="I36" sqref="I36"/>
    </sheetView>
  </sheetViews>
  <sheetFormatPr defaultColWidth="11.6328125" defaultRowHeight="15" x14ac:dyDescent="0.25"/>
  <cols>
    <col min="1" max="8" width="2.36328125" style="2" customWidth="1"/>
    <col min="9" max="9" width="7.08984375" style="2" customWidth="1"/>
    <col min="10" max="10" width="10" style="2" customWidth="1"/>
    <col min="11" max="11" width="6.36328125" style="2" customWidth="1"/>
    <col min="12" max="12" width="8.1796875" style="2" customWidth="1"/>
    <col min="13" max="14" width="6.1796875" style="2" customWidth="1"/>
    <col min="15" max="15" width="3.08984375" style="2" customWidth="1"/>
    <col min="16" max="47" width="3.453125" style="3" customWidth="1"/>
    <col min="48" max="16384" width="11.6328125" style="2"/>
  </cols>
  <sheetData>
    <row r="1" spans="1:47" x14ac:dyDescent="0.25">
      <c r="A1" s="1" t="s">
        <v>0</v>
      </c>
      <c r="B1" s="1"/>
      <c r="C1" s="1"/>
      <c r="D1" s="1"/>
      <c r="E1" s="1"/>
      <c r="F1" s="1"/>
      <c r="G1" s="1"/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  <c r="N1" s="2" t="s">
        <v>6</v>
      </c>
      <c r="P1" s="3" t="s">
        <v>49</v>
      </c>
      <c r="Q1" s="3" t="s">
        <v>50</v>
      </c>
      <c r="R1" s="3" t="s">
        <v>51</v>
      </c>
      <c r="S1" s="3" t="s">
        <v>52</v>
      </c>
      <c r="T1" s="3" t="s">
        <v>53</v>
      </c>
      <c r="U1" s="3" t="s">
        <v>54</v>
      </c>
      <c r="V1" s="3" t="s">
        <v>55</v>
      </c>
      <c r="W1" s="3" t="s">
        <v>56</v>
      </c>
      <c r="X1" s="3" t="s">
        <v>57</v>
      </c>
      <c r="Y1" s="3" t="s">
        <v>58</v>
      </c>
      <c r="Z1" s="3" t="s">
        <v>59</v>
      </c>
      <c r="AA1" s="3" t="s">
        <v>60</v>
      </c>
      <c r="AB1" s="3" t="s">
        <v>61</v>
      </c>
      <c r="AC1" s="3" t="s">
        <v>62</v>
      </c>
      <c r="AD1" s="3" t="s">
        <v>63</v>
      </c>
      <c r="AE1" s="3" t="s">
        <v>64</v>
      </c>
      <c r="AF1" s="3" t="s">
        <v>65</v>
      </c>
      <c r="AG1" s="3" t="s">
        <v>66</v>
      </c>
      <c r="AH1" s="3" t="s">
        <v>67</v>
      </c>
      <c r="AI1" s="3" t="s">
        <v>68</v>
      </c>
      <c r="AJ1" s="3" t="s">
        <v>69</v>
      </c>
      <c r="AK1" s="3" t="s">
        <v>70</v>
      </c>
      <c r="AL1" s="3" t="s">
        <v>71</v>
      </c>
      <c r="AM1" s="3" t="s">
        <v>72</v>
      </c>
      <c r="AN1" s="3" t="s">
        <v>73</v>
      </c>
      <c r="AO1" s="3" t="s">
        <v>74</v>
      </c>
      <c r="AP1" s="3" t="s">
        <v>75</v>
      </c>
      <c r="AQ1" s="3" t="s">
        <v>76</v>
      </c>
      <c r="AR1" s="3" t="s">
        <v>77</v>
      </c>
      <c r="AS1" s="3" t="s">
        <v>78</v>
      </c>
      <c r="AT1" s="3" t="s">
        <v>79</v>
      </c>
      <c r="AU1" s="3" t="s">
        <v>80</v>
      </c>
    </row>
    <row r="2" spans="1:47" x14ac:dyDescent="0.25">
      <c r="A2" s="3"/>
      <c r="B2" s="3"/>
      <c r="C2" s="3"/>
      <c r="D2" s="3"/>
      <c r="E2" s="3"/>
      <c r="F2" s="3"/>
      <c r="G2" s="3"/>
      <c r="P2" s="3">
        <v>0</v>
      </c>
      <c r="Q2" s="3" t="s">
        <v>81</v>
      </c>
      <c r="R2" s="3" t="s">
        <v>82</v>
      </c>
      <c r="S2" s="3" t="s">
        <v>83</v>
      </c>
      <c r="T2" s="3" t="s">
        <v>84</v>
      </c>
      <c r="U2" s="3" t="s">
        <v>85</v>
      </c>
      <c r="V2" s="3" t="s">
        <v>86</v>
      </c>
      <c r="W2" s="3" t="s">
        <v>87</v>
      </c>
      <c r="X2" s="3" t="s">
        <v>88</v>
      </c>
      <c r="Y2" s="3" t="s">
        <v>89</v>
      </c>
      <c r="Z2" s="3" t="s">
        <v>90</v>
      </c>
      <c r="AA2" s="3" t="s">
        <v>91</v>
      </c>
      <c r="AB2" s="3" t="s">
        <v>92</v>
      </c>
      <c r="AC2" s="3" t="s">
        <v>93</v>
      </c>
      <c r="AD2" s="3" t="s">
        <v>94</v>
      </c>
      <c r="AE2" s="3" t="s">
        <v>95</v>
      </c>
      <c r="AF2" s="3" t="s">
        <v>96</v>
      </c>
      <c r="AG2" s="3" t="s">
        <v>97</v>
      </c>
      <c r="AH2" s="3" t="s">
        <v>98</v>
      </c>
      <c r="AI2" s="3" t="s">
        <v>99</v>
      </c>
      <c r="AJ2" s="3" t="s">
        <v>100</v>
      </c>
      <c r="AK2" s="3" t="s">
        <v>101</v>
      </c>
      <c r="AL2" s="3" t="s">
        <v>102</v>
      </c>
      <c r="AM2" s="3" t="s">
        <v>103</v>
      </c>
      <c r="AN2" s="3" t="s">
        <v>104</v>
      </c>
      <c r="AO2" s="3" t="s">
        <v>105</v>
      </c>
      <c r="AP2" s="3" t="s">
        <v>106</v>
      </c>
      <c r="AQ2" s="3" t="s">
        <v>107</v>
      </c>
      <c r="AR2" s="3" t="s">
        <v>108</v>
      </c>
      <c r="AS2" s="3" t="s">
        <v>109</v>
      </c>
      <c r="AT2" s="3" t="s">
        <v>110</v>
      </c>
      <c r="AU2" s="3" t="s">
        <v>111</v>
      </c>
    </row>
    <row r="3" spans="1:47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I3" s="2">
        <v>1</v>
      </c>
      <c r="J3" s="2">
        <f>TRUNC(32/I3,0)</f>
        <v>32</v>
      </c>
      <c r="K3" s="2">
        <v>32</v>
      </c>
      <c r="L3" s="2">
        <v>0</v>
      </c>
      <c r="M3" s="2">
        <v>0</v>
      </c>
      <c r="N3" s="2">
        <f>SUM(K3:M3)</f>
        <v>32</v>
      </c>
      <c r="P3" s="4" t="s">
        <v>39</v>
      </c>
      <c r="Q3" s="4" t="s">
        <v>39</v>
      </c>
      <c r="R3" s="4" t="s">
        <v>39</v>
      </c>
      <c r="S3" s="4" t="s">
        <v>39</v>
      </c>
      <c r="T3" s="4" t="s">
        <v>39</v>
      </c>
      <c r="U3" s="4" t="s">
        <v>39</v>
      </c>
      <c r="V3" s="4" t="s">
        <v>39</v>
      </c>
      <c r="W3" s="4" t="s">
        <v>39</v>
      </c>
      <c r="X3" s="4" t="s">
        <v>39</v>
      </c>
      <c r="Y3" s="4" t="s">
        <v>39</v>
      </c>
      <c r="Z3" s="4" t="s">
        <v>39</v>
      </c>
      <c r="AA3" s="4" t="s">
        <v>39</v>
      </c>
      <c r="AB3" s="4" t="s">
        <v>39</v>
      </c>
      <c r="AC3" s="4" t="s">
        <v>39</v>
      </c>
      <c r="AD3" s="4" t="s">
        <v>39</v>
      </c>
      <c r="AE3" s="4" t="s">
        <v>39</v>
      </c>
      <c r="AF3" s="9" t="s">
        <v>39</v>
      </c>
      <c r="AG3" s="9" t="s">
        <v>39</v>
      </c>
      <c r="AH3" s="9" t="s">
        <v>39</v>
      </c>
      <c r="AI3" s="9" t="s">
        <v>39</v>
      </c>
      <c r="AJ3" s="9" t="s">
        <v>39</v>
      </c>
      <c r="AK3" s="9" t="s">
        <v>39</v>
      </c>
      <c r="AL3" s="9" t="s">
        <v>39</v>
      </c>
      <c r="AM3" s="9" t="s">
        <v>39</v>
      </c>
      <c r="AN3" s="9" t="s">
        <v>39</v>
      </c>
      <c r="AO3" s="9" t="s">
        <v>39</v>
      </c>
      <c r="AP3" s="9" t="s">
        <v>39</v>
      </c>
      <c r="AQ3" s="9" t="s">
        <v>39</v>
      </c>
      <c r="AR3" s="9" t="s">
        <v>39</v>
      </c>
      <c r="AS3" s="9" t="s">
        <v>39</v>
      </c>
      <c r="AT3" s="9" t="s">
        <v>39</v>
      </c>
      <c r="AU3" s="9" t="s">
        <v>39</v>
      </c>
    </row>
    <row r="4" spans="1:47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1</v>
      </c>
      <c r="I4" s="2">
        <v>1</v>
      </c>
      <c r="J4" s="2">
        <f t="shared" ref="J4:J20" si="0">TRUNC(32/I4,0)</f>
        <v>32</v>
      </c>
      <c r="K4" s="2">
        <f>J4-(2*L4)-(4*M4)</f>
        <v>30</v>
      </c>
      <c r="L4" s="2">
        <v>1</v>
      </c>
      <c r="M4" s="2">
        <v>0</v>
      </c>
      <c r="N4" s="2">
        <f t="shared" ref="N4:N20" si="1">SUM(K4:M4)</f>
        <v>31</v>
      </c>
      <c r="P4" s="4" t="s">
        <v>39</v>
      </c>
      <c r="Q4" s="4" t="s">
        <v>39</v>
      </c>
      <c r="R4" s="4" t="s">
        <v>39</v>
      </c>
      <c r="S4" s="4" t="s">
        <v>39</v>
      </c>
      <c r="T4" s="4" t="s">
        <v>39</v>
      </c>
      <c r="U4" s="4" t="s">
        <v>39</v>
      </c>
      <c r="V4" s="4" t="s">
        <v>39</v>
      </c>
      <c r="W4" s="4" t="s">
        <v>39</v>
      </c>
      <c r="X4" s="4" t="s">
        <v>39</v>
      </c>
      <c r="Y4" s="4" t="s">
        <v>39</v>
      </c>
      <c r="Z4" s="4" t="s">
        <v>39</v>
      </c>
      <c r="AA4" s="4" t="s">
        <v>39</v>
      </c>
      <c r="AB4" s="4" t="s">
        <v>39</v>
      </c>
      <c r="AC4" s="4" t="s">
        <v>39</v>
      </c>
      <c r="AD4" s="6" t="s">
        <v>40</v>
      </c>
      <c r="AE4" s="7"/>
      <c r="AF4" s="9" t="s">
        <v>39</v>
      </c>
      <c r="AG4" s="9" t="s">
        <v>39</v>
      </c>
      <c r="AH4" s="9" t="s">
        <v>39</v>
      </c>
      <c r="AI4" s="9" t="s">
        <v>39</v>
      </c>
      <c r="AJ4" s="9" t="s">
        <v>39</v>
      </c>
      <c r="AK4" s="9" t="s">
        <v>39</v>
      </c>
      <c r="AL4" s="9" t="s">
        <v>39</v>
      </c>
      <c r="AM4" s="9" t="s">
        <v>39</v>
      </c>
      <c r="AN4" s="9" t="s">
        <v>39</v>
      </c>
      <c r="AO4" s="9" t="s">
        <v>39</v>
      </c>
      <c r="AP4" s="9" t="s">
        <v>39</v>
      </c>
      <c r="AQ4" s="9" t="s">
        <v>39</v>
      </c>
      <c r="AR4" s="9" t="s">
        <v>39</v>
      </c>
      <c r="AS4" s="9" t="s">
        <v>39</v>
      </c>
      <c r="AT4" s="9" t="s">
        <v>39</v>
      </c>
      <c r="AU4" s="9" t="s">
        <v>39</v>
      </c>
    </row>
    <row r="5" spans="1:47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1</v>
      </c>
      <c r="G5" s="2">
        <v>0</v>
      </c>
      <c r="I5" s="2">
        <v>1</v>
      </c>
      <c r="J5" s="2">
        <f t="shared" si="0"/>
        <v>32</v>
      </c>
      <c r="K5" s="2">
        <f t="shared" ref="K5:K20" si="2">J5-(2*L5)-(4*M5)</f>
        <v>28</v>
      </c>
      <c r="L5" s="2">
        <v>2</v>
      </c>
      <c r="M5" s="2">
        <v>0</v>
      </c>
      <c r="N5" s="2">
        <f t="shared" si="1"/>
        <v>30</v>
      </c>
      <c r="P5" s="4" t="s">
        <v>39</v>
      </c>
      <c r="Q5" s="4" t="s">
        <v>39</v>
      </c>
      <c r="R5" s="4" t="s">
        <v>39</v>
      </c>
      <c r="S5" s="4" t="s">
        <v>39</v>
      </c>
      <c r="T5" s="4" t="s">
        <v>39</v>
      </c>
      <c r="U5" s="4" t="s">
        <v>39</v>
      </c>
      <c r="V5" s="4" t="s">
        <v>39</v>
      </c>
      <c r="W5" s="4" t="s">
        <v>39</v>
      </c>
      <c r="X5" s="4" t="s">
        <v>39</v>
      </c>
      <c r="Y5" s="4" t="s">
        <v>39</v>
      </c>
      <c r="Z5" s="4" t="s">
        <v>39</v>
      </c>
      <c r="AA5" s="4" t="s">
        <v>39</v>
      </c>
      <c r="AB5" s="6" t="s">
        <v>40</v>
      </c>
      <c r="AC5" s="7"/>
      <c r="AD5" s="6" t="s">
        <v>40</v>
      </c>
      <c r="AE5" s="7"/>
      <c r="AF5" s="9" t="s">
        <v>39</v>
      </c>
      <c r="AG5" s="9" t="s">
        <v>39</v>
      </c>
      <c r="AH5" s="9" t="s">
        <v>39</v>
      </c>
      <c r="AI5" s="9" t="s">
        <v>39</v>
      </c>
      <c r="AJ5" s="9" t="s">
        <v>39</v>
      </c>
      <c r="AK5" s="9" t="s">
        <v>39</v>
      </c>
      <c r="AL5" s="9" t="s">
        <v>39</v>
      </c>
      <c r="AM5" s="9" t="s">
        <v>39</v>
      </c>
      <c r="AN5" s="9" t="s">
        <v>39</v>
      </c>
      <c r="AO5" s="9" t="s">
        <v>39</v>
      </c>
      <c r="AP5" s="9" t="s">
        <v>39</v>
      </c>
      <c r="AQ5" s="9" t="s">
        <v>39</v>
      </c>
      <c r="AR5" s="9" t="s">
        <v>39</v>
      </c>
      <c r="AS5" s="9" t="s">
        <v>39</v>
      </c>
      <c r="AT5" s="9" t="s">
        <v>39</v>
      </c>
      <c r="AU5" s="9" t="s">
        <v>39</v>
      </c>
    </row>
    <row r="6" spans="1:47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1</v>
      </c>
      <c r="G6" s="2">
        <v>1</v>
      </c>
      <c r="I6" s="2">
        <v>1</v>
      </c>
      <c r="J6" s="2">
        <f t="shared" si="0"/>
        <v>32</v>
      </c>
      <c r="K6" s="2">
        <f t="shared" si="2"/>
        <v>26</v>
      </c>
      <c r="L6" s="2">
        <v>3</v>
      </c>
      <c r="M6" s="2">
        <v>0</v>
      </c>
      <c r="N6" s="2">
        <f t="shared" si="1"/>
        <v>29</v>
      </c>
      <c r="P6" s="4" t="s">
        <v>39</v>
      </c>
      <c r="Q6" s="4" t="s">
        <v>39</v>
      </c>
      <c r="R6" s="4" t="s">
        <v>39</v>
      </c>
      <c r="S6" s="4" t="s">
        <v>39</v>
      </c>
      <c r="T6" s="4" t="s">
        <v>39</v>
      </c>
      <c r="U6" s="4" t="s">
        <v>39</v>
      </c>
      <c r="V6" s="4" t="s">
        <v>39</v>
      </c>
      <c r="W6" s="4" t="s">
        <v>39</v>
      </c>
      <c r="X6" s="4" t="s">
        <v>39</v>
      </c>
      <c r="Y6" s="4" t="s">
        <v>39</v>
      </c>
      <c r="Z6" s="6" t="s">
        <v>40</v>
      </c>
      <c r="AA6" s="7"/>
      <c r="AB6" s="6" t="s">
        <v>40</v>
      </c>
      <c r="AC6" s="7"/>
      <c r="AD6" s="6" t="s">
        <v>40</v>
      </c>
      <c r="AE6" s="7"/>
      <c r="AF6" s="9" t="s">
        <v>39</v>
      </c>
      <c r="AG6" s="9" t="s">
        <v>39</v>
      </c>
      <c r="AH6" s="9" t="s">
        <v>39</v>
      </c>
      <c r="AI6" s="9" t="s">
        <v>39</v>
      </c>
      <c r="AJ6" s="9" t="s">
        <v>39</v>
      </c>
      <c r="AK6" s="9" t="s">
        <v>39</v>
      </c>
      <c r="AL6" s="9" t="s">
        <v>39</v>
      </c>
      <c r="AM6" s="9" t="s">
        <v>39</v>
      </c>
      <c r="AN6" s="9" t="s">
        <v>39</v>
      </c>
      <c r="AO6" s="9" t="s">
        <v>39</v>
      </c>
      <c r="AP6" s="9" t="s">
        <v>39</v>
      </c>
      <c r="AQ6" s="9" t="s">
        <v>39</v>
      </c>
      <c r="AR6" s="9" t="s">
        <v>39</v>
      </c>
      <c r="AS6" s="9" t="s">
        <v>39</v>
      </c>
      <c r="AT6" s="9" t="s">
        <v>39</v>
      </c>
      <c r="AU6" s="9" t="s">
        <v>39</v>
      </c>
    </row>
    <row r="7" spans="1:47" x14ac:dyDescent="0.25">
      <c r="A7" s="2">
        <v>0</v>
      </c>
      <c r="B7" s="2">
        <v>0</v>
      </c>
      <c r="C7" s="2">
        <v>0</v>
      </c>
      <c r="D7" s="2">
        <v>0</v>
      </c>
      <c r="E7" s="2">
        <v>1</v>
      </c>
      <c r="F7" s="2">
        <v>0</v>
      </c>
      <c r="G7" s="2">
        <v>0</v>
      </c>
      <c r="I7" s="2">
        <v>1</v>
      </c>
      <c r="J7" s="2">
        <f t="shared" si="0"/>
        <v>32</v>
      </c>
      <c r="K7" s="2">
        <f t="shared" si="2"/>
        <v>24</v>
      </c>
      <c r="L7" s="2">
        <v>4</v>
      </c>
      <c r="M7" s="2">
        <v>0</v>
      </c>
      <c r="N7" s="2">
        <f t="shared" si="1"/>
        <v>28</v>
      </c>
      <c r="P7" s="4" t="s">
        <v>39</v>
      </c>
      <c r="Q7" s="4" t="s">
        <v>39</v>
      </c>
      <c r="R7" s="4" t="s">
        <v>39</v>
      </c>
      <c r="S7" s="4" t="s">
        <v>39</v>
      </c>
      <c r="T7" s="4" t="s">
        <v>39</v>
      </c>
      <c r="U7" s="4" t="s">
        <v>39</v>
      </c>
      <c r="V7" s="4" t="s">
        <v>39</v>
      </c>
      <c r="W7" s="4" t="s">
        <v>39</v>
      </c>
      <c r="X7" s="6" t="s">
        <v>40</v>
      </c>
      <c r="Y7" s="7"/>
      <c r="Z7" s="6" t="s">
        <v>40</v>
      </c>
      <c r="AA7" s="7"/>
      <c r="AB7" s="6" t="s">
        <v>40</v>
      </c>
      <c r="AC7" s="7"/>
      <c r="AD7" s="6" t="s">
        <v>40</v>
      </c>
      <c r="AE7" s="7"/>
      <c r="AF7" s="9" t="s">
        <v>39</v>
      </c>
      <c r="AG7" s="9" t="s">
        <v>39</v>
      </c>
      <c r="AH7" s="9" t="s">
        <v>39</v>
      </c>
      <c r="AI7" s="9" t="s">
        <v>39</v>
      </c>
      <c r="AJ7" s="9" t="s">
        <v>39</v>
      </c>
      <c r="AK7" s="9" t="s">
        <v>39</v>
      </c>
      <c r="AL7" s="9" t="s">
        <v>39</v>
      </c>
      <c r="AM7" s="9" t="s">
        <v>39</v>
      </c>
      <c r="AN7" s="9" t="s">
        <v>39</v>
      </c>
      <c r="AO7" s="9" t="s">
        <v>39</v>
      </c>
      <c r="AP7" s="9" t="s">
        <v>39</v>
      </c>
      <c r="AQ7" s="9" t="s">
        <v>39</v>
      </c>
      <c r="AR7" s="9" t="s">
        <v>39</v>
      </c>
      <c r="AS7" s="9" t="s">
        <v>39</v>
      </c>
      <c r="AT7" s="9" t="s">
        <v>39</v>
      </c>
      <c r="AU7" s="9" t="s">
        <v>39</v>
      </c>
    </row>
    <row r="8" spans="1:47" x14ac:dyDescent="0.25">
      <c r="A8" s="2">
        <v>0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1</v>
      </c>
      <c r="I8" s="2">
        <v>1</v>
      </c>
      <c r="J8" s="2">
        <f t="shared" si="0"/>
        <v>32</v>
      </c>
      <c r="K8" s="2">
        <f t="shared" si="2"/>
        <v>22</v>
      </c>
      <c r="L8" s="2">
        <v>5</v>
      </c>
      <c r="M8" s="2">
        <v>0</v>
      </c>
      <c r="N8" s="2">
        <f t="shared" si="1"/>
        <v>27</v>
      </c>
      <c r="P8" s="4" t="s">
        <v>39</v>
      </c>
      <c r="Q8" s="4" t="s">
        <v>39</v>
      </c>
      <c r="R8" s="4" t="s">
        <v>39</v>
      </c>
      <c r="S8" s="4" t="s">
        <v>39</v>
      </c>
      <c r="T8" s="4" t="s">
        <v>39</v>
      </c>
      <c r="U8" s="4" t="s">
        <v>39</v>
      </c>
      <c r="V8" s="6" t="s">
        <v>40</v>
      </c>
      <c r="W8" s="7"/>
      <c r="X8" s="6" t="s">
        <v>40</v>
      </c>
      <c r="Y8" s="7"/>
      <c r="Z8" s="6" t="s">
        <v>40</v>
      </c>
      <c r="AA8" s="7"/>
      <c r="AB8" s="6" t="s">
        <v>40</v>
      </c>
      <c r="AC8" s="7"/>
      <c r="AD8" s="6" t="s">
        <v>40</v>
      </c>
      <c r="AE8" s="7"/>
      <c r="AF8" s="9" t="s">
        <v>39</v>
      </c>
      <c r="AG8" s="9" t="s">
        <v>39</v>
      </c>
      <c r="AH8" s="9" t="s">
        <v>39</v>
      </c>
      <c r="AI8" s="9" t="s">
        <v>39</v>
      </c>
      <c r="AJ8" s="9" t="s">
        <v>39</v>
      </c>
      <c r="AK8" s="9" t="s">
        <v>39</v>
      </c>
      <c r="AL8" s="9" t="s">
        <v>39</v>
      </c>
      <c r="AM8" s="9" t="s">
        <v>39</v>
      </c>
      <c r="AN8" s="9" t="s">
        <v>39</v>
      </c>
      <c r="AO8" s="9" t="s">
        <v>39</v>
      </c>
      <c r="AP8" s="9" t="s">
        <v>39</v>
      </c>
      <c r="AQ8" s="9" t="s">
        <v>39</v>
      </c>
      <c r="AR8" s="9" t="s">
        <v>39</v>
      </c>
      <c r="AS8" s="9" t="s">
        <v>39</v>
      </c>
      <c r="AT8" s="9" t="s">
        <v>39</v>
      </c>
      <c r="AU8" s="9" t="s">
        <v>39</v>
      </c>
    </row>
    <row r="9" spans="1:47" x14ac:dyDescent="0.25">
      <c r="A9" s="2">
        <v>0</v>
      </c>
      <c r="B9" s="2">
        <v>0</v>
      </c>
      <c r="C9" s="2">
        <v>0</v>
      </c>
      <c r="D9" s="2">
        <v>0</v>
      </c>
      <c r="E9" s="2">
        <v>1</v>
      </c>
      <c r="F9" s="2">
        <v>1</v>
      </c>
      <c r="G9" s="2">
        <v>0</v>
      </c>
      <c r="I9" s="2">
        <v>1</v>
      </c>
      <c r="J9" s="2">
        <f t="shared" si="0"/>
        <v>32</v>
      </c>
      <c r="K9" s="2">
        <f t="shared" si="2"/>
        <v>20</v>
      </c>
      <c r="L9" s="2">
        <v>6</v>
      </c>
      <c r="M9" s="2">
        <v>0</v>
      </c>
      <c r="N9" s="2">
        <f t="shared" si="1"/>
        <v>26</v>
      </c>
      <c r="P9" s="4" t="s">
        <v>39</v>
      </c>
      <c r="Q9" s="4" t="s">
        <v>39</v>
      </c>
      <c r="R9" s="4" t="s">
        <v>39</v>
      </c>
      <c r="S9" s="4" t="s">
        <v>39</v>
      </c>
      <c r="T9" s="6" t="s">
        <v>40</v>
      </c>
      <c r="U9" s="7"/>
      <c r="V9" s="6" t="s">
        <v>40</v>
      </c>
      <c r="W9" s="7"/>
      <c r="X9" s="6" t="s">
        <v>40</v>
      </c>
      <c r="Y9" s="7"/>
      <c r="Z9" s="6" t="s">
        <v>40</v>
      </c>
      <c r="AA9" s="7"/>
      <c r="AB9" s="6" t="s">
        <v>40</v>
      </c>
      <c r="AC9" s="7"/>
      <c r="AD9" s="6" t="s">
        <v>40</v>
      </c>
      <c r="AE9" s="7"/>
      <c r="AF9" s="9" t="s">
        <v>39</v>
      </c>
      <c r="AG9" s="9" t="s">
        <v>39</v>
      </c>
      <c r="AH9" s="9" t="s">
        <v>39</v>
      </c>
      <c r="AI9" s="9" t="s">
        <v>39</v>
      </c>
      <c r="AJ9" s="9" t="s">
        <v>39</v>
      </c>
      <c r="AK9" s="9" t="s">
        <v>39</v>
      </c>
      <c r="AL9" s="9" t="s">
        <v>39</v>
      </c>
      <c r="AM9" s="9" t="s">
        <v>39</v>
      </c>
      <c r="AN9" s="9" t="s">
        <v>39</v>
      </c>
      <c r="AO9" s="9" t="s">
        <v>39</v>
      </c>
      <c r="AP9" s="9" t="s">
        <v>39</v>
      </c>
      <c r="AQ9" s="9" t="s">
        <v>39</v>
      </c>
      <c r="AR9" s="9" t="s">
        <v>39</v>
      </c>
      <c r="AS9" s="9" t="s">
        <v>39</v>
      </c>
      <c r="AT9" s="9" t="s">
        <v>39</v>
      </c>
      <c r="AU9" s="9" t="s">
        <v>39</v>
      </c>
    </row>
    <row r="10" spans="1:47" x14ac:dyDescent="0.25">
      <c r="A10" s="2">
        <v>0</v>
      </c>
      <c r="B10" s="2">
        <v>0</v>
      </c>
      <c r="C10" s="2">
        <v>0</v>
      </c>
      <c r="D10" s="2">
        <v>0</v>
      </c>
      <c r="E10" s="2">
        <v>1</v>
      </c>
      <c r="F10" s="2">
        <v>1</v>
      </c>
      <c r="G10" s="2">
        <v>1</v>
      </c>
      <c r="I10" s="2">
        <v>1</v>
      </c>
      <c r="J10" s="2">
        <f t="shared" si="0"/>
        <v>32</v>
      </c>
      <c r="K10" s="2">
        <f t="shared" si="2"/>
        <v>18</v>
      </c>
      <c r="L10" s="2">
        <v>7</v>
      </c>
      <c r="M10" s="2">
        <v>0</v>
      </c>
      <c r="N10" s="2">
        <f t="shared" si="1"/>
        <v>25</v>
      </c>
      <c r="P10" s="4" t="s">
        <v>39</v>
      </c>
      <c r="Q10" s="4" t="s">
        <v>39</v>
      </c>
      <c r="R10" s="4" t="s">
        <v>39</v>
      </c>
      <c r="S10" s="4" t="s">
        <v>39</v>
      </c>
      <c r="T10" s="6" t="s">
        <v>40</v>
      </c>
      <c r="U10" s="7"/>
      <c r="V10" s="6" t="s">
        <v>40</v>
      </c>
      <c r="W10" s="7"/>
      <c r="X10" s="6" t="s">
        <v>40</v>
      </c>
      <c r="Y10" s="7"/>
      <c r="Z10" s="6" t="s">
        <v>40</v>
      </c>
      <c r="AA10" s="7"/>
      <c r="AB10" s="6" t="s">
        <v>40</v>
      </c>
      <c r="AC10" s="7"/>
      <c r="AD10" s="6" t="s">
        <v>40</v>
      </c>
      <c r="AE10" s="7"/>
      <c r="AF10" s="9" t="s">
        <v>39</v>
      </c>
      <c r="AG10" s="9" t="s">
        <v>39</v>
      </c>
      <c r="AH10" s="9" t="s">
        <v>39</v>
      </c>
      <c r="AI10" s="9" t="s">
        <v>39</v>
      </c>
      <c r="AJ10" s="9" t="s">
        <v>39</v>
      </c>
      <c r="AK10" s="9" t="s">
        <v>39</v>
      </c>
      <c r="AL10" s="9" t="s">
        <v>39</v>
      </c>
      <c r="AM10" s="9" t="s">
        <v>39</v>
      </c>
      <c r="AN10" s="9" t="s">
        <v>39</v>
      </c>
      <c r="AO10" s="9" t="s">
        <v>39</v>
      </c>
      <c r="AP10" s="9" t="s">
        <v>39</v>
      </c>
      <c r="AQ10" s="9" t="s">
        <v>39</v>
      </c>
      <c r="AR10" s="9" t="s">
        <v>39</v>
      </c>
      <c r="AS10" s="9" t="s">
        <v>39</v>
      </c>
      <c r="AT10" s="9" t="s">
        <v>39</v>
      </c>
      <c r="AU10" s="9" t="s">
        <v>39</v>
      </c>
    </row>
    <row r="11" spans="1:47" x14ac:dyDescent="0.25">
      <c r="A11" s="2">
        <v>0</v>
      </c>
      <c r="B11" s="2">
        <v>0</v>
      </c>
      <c r="C11" s="2">
        <v>0</v>
      </c>
      <c r="D11" s="2">
        <v>1</v>
      </c>
      <c r="E11" s="2">
        <v>0</v>
      </c>
      <c r="F11" s="2">
        <v>0</v>
      </c>
      <c r="G11" s="2">
        <v>1</v>
      </c>
      <c r="I11" s="2">
        <v>1</v>
      </c>
      <c r="J11" s="2">
        <f t="shared" si="0"/>
        <v>32</v>
      </c>
      <c r="K11" s="2">
        <f t="shared" si="2"/>
        <v>18</v>
      </c>
      <c r="L11" s="2">
        <v>7</v>
      </c>
      <c r="M11" s="2">
        <v>0</v>
      </c>
      <c r="N11" s="2">
        <f t="shared" si="1"/>
        <v>25</v>
      </c>
      <c r="P11" s="4" t="s">
        <v>39</v>
      </c>
      <c r="Q11" s="4" t="s">
        <v>39</v>
      </c>
      <c r="R11" s="4" t="s">
        <v>39</v>
      </c>
      <c r="S11" s="4" t="s">
        <v>39</v>
      </c>
      <c r="T11" s="10" t="s">
        <v>40</v>
      </c>
      <c r="U11" s="11"/>
      <c r="V11" s="12" t="s">
        <v>40</v>
      </c>
      <c r="W11" s="11"/>
      <c r="X11" s="12" t="s">
        <v>40</v>
      </c>
      <c r="Y11" s="11"/>
      <c r="Z11" s="12" t="s">
        <v>40</v>
      </c>
      <c r="AA11" s="11"/>
      <c r="AB11" s="12" t="s">
        <v>40</v>
      </c>
      <c r="AC11" s="11"/>
      <c r="AD11" s="12" t="s">
        <v>40</v>
      </c>
      <c r="AE11" s="11"/>
      <c r="AF11" s="9" t="s">
        <v>39</v>
      </c>
      <c r="AG11" s="9" t="s">
        <v>39</v>
      </c>
      <c r="AH11" s="9" t="s">
        <v>39</v>
      </c>
      <c r="AI11" s="9" t="s">
        <v>39</v>
      </c>
      <c r="AJ11" s="9" t="s">
        <v>39</v>
      </c>
      <c r="AK11" s="13" t="s">
        <v>39</v>
      </c>
      <c r="AL11" s="13" t="s">
        <v>39</v>
      </c>
      <c r="AM11" s="13" t="s">
        <v>39</v>
      </c>
      <c r="AN11" s="13" t="s">
        <v>39</v>
      </c>
      <c r="AO11" s="13" t="s">
        <v>39</v>
      </c>
      <c r="AP11" s="13" t="s">
        <v>39</v>
      </c>
      <c r="AQ11" s="13" t="s">
        <v>39</v>
      </c>
      <c r="AR11" s="13" t="s">
        <v>39</v>
      </c>
      <c r="AS11" s="13" t="s">
        <v>39</v>
      </c>
      <c r="AT11" s="14" t="s">
        <v>40</v>
      </c>
      <c r="AU11" s="15"/>
    </row>
    <row r="12" spans="1:47" x14ac:dyDescent="0.25">
      <c r="A12" s="2">
        <v>0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I12" s="2">
        <v>1</v>
      </c>
      <c r="J12" s="2">
        <f t="shared" si="0"/>
        <v>32</v>
      </c>
      <c r="K12" s="2">
        <f t="shared" si="2"/>
        <v>16</v>
      </c>
      <c r="L12" s="2">
        <v>8</v>
      </c>
      <c r="M12" s="2">
        <v>0</v>
      </c>
      <c r="N12" s="2">
        <f t="shared" si="1"/>
        <v>24</v>
      </c>
      <c r="P12" s="4" t="s">
        <v>39</v>
      </c>
      <c r="Q12" s="4" t="s">
        <v>39</v>
      </c>
      <c r="R12" s="4" t="s">
        <v>39</v>
      </c>
      <c r="S12" s="4" t="s">
        <v>39</v>
      </c>
      <c r="T12" s="10" t="s">
        <v>40</v>
      </c>
      <c r="U12" s="11"/>
      <c r="V12" s="12" t="s">
        <v>40</v>
      </c>
      <c r="W12" s="11"/>
      <c r="X12" s="12" t="s">
        <v>40</v>
      </c>
      <c r="Y12" s="11"/>
      <c r="Z12" s="12" t="s">
        <v>40</v>
      </c>
      <c r="AA12" s="11"/>
      <c r="AB12" s="12" t="s">
        <v>40</v>
      </c>
      <c r="AC12" s="11"/>
      <c r="AD12" s="12" t="s">
        <v>40</v>
      </c>
      <c r="AE12" s="11"/>
      <c r="AF12" s="9" t="s">
        <v>39</v>
      </c>
      <c r="AG12" s="9" t="s">
        <v>39</v>
      </c>
      <c r="AH12" s="9" t="s">
        <v>39</v>
      </c>
      <c r="AI12" s="9" t="s">
        <v>39</v>
      </c>
      <c r="AJ12" s="16" t="s">
        <v>39</v>
      </c>
      <c r="AK12" s="17" t="s">
        <v>39</v>
      </c>
      <c r="AL12" s="17" t="s">
        <v>39</v>
      </c>
      <c r="AM12" s="17" t="s">
        <v>39</v>
      </c>
      <c r="AN12" s="17" t="s">
        <v>39</v>
      </c>
      <c r="AO12" s="17" t="s">
        <v>39</v>
      </c>
      <c r="AP12" s="17" t="s">
        <v>39</v>
      </c>
      <c r="AQ12" s="17" t="s">
        <v>39</v>
      </c>
      <c r="AR12" s="18" t="s">
        <v>40</v>
      </c>
      <c r="AS12" s="11"/>
      <c r="AT12" s="18" t="s">
        <v>40</v>
      </c>
      <c r="AU12" s="11"/>
    </row>
    <row r="13" spans="1:47" x14ac:dyDescent="0.25">
      <c r="A13" s="2">
        <v>0</v>
      </c>
      <c r="B13" s="2">
        <v>0</v>
      </c>
      <c r="C13" s="2">
        <v>0</v>
      </c>
      <c r="D13" s="2">
        <v>1</v>
      </c>
      <c r="E13" s="2">
        <v>1</v>
      </c>
      <c r="F13" s="2">
        <v>1</v>
      </c>
      <c r="G13" s="2">
        <v>1</v>
      </c>
      <c r="I13" s="2">
        <v>1</v>
      </c>
      <c r="J13" s="2">
        <f t="shared" si="0"/>
        <v>32</v>
      </c>
      <c r="K13" s="2">
        <f t="shared" si="2"/>
        <v>14</v>
      </c>
      <c r="L13" s="2">
        <v>9</v>
      </c>
      <c r="M13" s="2">
        <v>0</v>
      </c>
      <c r="N13" s="2">
        <f t="shared" si="1"/>
        <v>23</v>
      </c>
      <c r="P13" s="4" t="s">
        <v>39</v>
      </c>
      <c r="Q13" s="4" t="s">
        <v>39</v>
      </c>
      <c r="R13" s="4" t="s">
        <v>39</v>
      </c>
      <c r="S13" s="4" t="s">
        <v>39</v>
      </c>
      <c r="T13" s="10" t="s">
        <v>40</v>
      </c>
      <c r="U13" s="11"/>
      <c r="V13" s="12" t="s">
        <v>40</v>
      </c>
      <c r="W13" s="11"/>
      <c r="X13" s="12" t="s">
        <v>40</v>
      </c>
      <c r="Y13" s="11"/>
      <c r="Z13" s="12" t="s">
        <v>40</v>
      </c>
      <c r="AA13" s="11"/>
      <c r="AB13" s="12" t="s">
        <v>40</v>
      </c>
      <c r="AC13" s="11"/>
      <c r="AD13" s="12" t="s">
        <v>40</v>
      </c>
      <c r="AE13" s="11"/>
      <c r="AF13" s="9" t="s">
        <v>39</v>
      </c>
      <c r="AG13" s="9" t="s">
        <v>39</v>
      </c>
      <c r="AH13" s="9" t="s">
        <v>39</v>
      </c>
      <c r="AI13" s="9" t="s">
        <v>39</v>
      </c>
      <c r="AJ13" s="16" t="s">
        <v>39</v>
      </c>
      <c r="AK13" s="17" t="s">
        <v>39</v>
      </c>
      <c r="AL13" s="17" t="s">
        <v>39</v>
      </c>
      <c r="AM13" s="17" t="s">
        <v>39</v>
      </c>
      <c r="AN13" s="17" t="s">
        <v>39</v>
      </c>
      <c r="AO13" s="17" t="s">
        <v>39</v>
      </c>
      <c r="AP13" s="18" t="s">
        <v>40</v>
      </c>
      <c r="AQ13" s="11"/>
      <c r="AR13" s="18" t="s">
        <v>40</v>
      </c>
      <c r="AS13" s="11"/>
      <c r="AT13" s="18" t="s">
        <v>40</v>
      </c>
      <c r="AU13" s="11"/>
    </row>
    <row r="14" spans="1:47" x14ac:dyDescent="0.25">
      <c r="A14" s="2">
        <v>0</v>
      </c>
      <c r="B14" s="2">
        <v>0</v>
      </c>
      <c r="C14" s="2">
        <v>0</v>
      </c>
      <c r="D14" s="2">
        <v>1</v>
      </c>
      <c r="E14" s="2">
        <v>1</v>
      </c>
      <c r="F14" s="2">
        <v>0</v>
      </c>
      <c r="G14" s="2">
        <v>0</v>
      </c>
      <c r="I14" s="2">
        <v>1</v>
      </c>
      <c r="J14" s="2">
        <f t="shared" si="0"/>
        <v>32</v>
      </c>
      <c r="K14" s="2">
        <f t="shared" si="2"/>
        <v>12</v>
      </c>
      <c r="L14" s="2">
        <v>10</v>
      </c>
      <c r="M14" s="2">
        <v>0</v>
      </c>
      <c r="N14" s="2">
        <f t="shared" si="1"/>
        <v>22</v>
      </c>
      <c r="P14" s="4" t="s">
        <v>39</v>
      </c>
      <c r="Q14" s="4" t="s">
        <v>39</v>
      </c>
      <c r="R14" s="4" t="s">
        <v>39</v>
      </c>
      <c r="S14" s="4" t="s">
        <v>39</v>
      </c>
      <c r="T14" s="10" t="s">
        <v>40</v>
      </c>
      <c r="U14" s="11"/>
      <c r="V14" s="12" t="s">
        <v>40</v>
      </c>
      <c r="W14" s="11"/>
      <c r="X14" s="12" t="s">
        <v>40</v>
      </c>
      <c r="Y14" s="11"/>
      <c r="Z14" s="12" t="s">
        <v>40</v>
      </c>
      <c r="AA14" s="11"/>
      <c r="AB14" s="12" t="s">
        <v>40</v>
      </c>
      <c r="AC14" s="11"/>
      <c r="AD14" s="12" t="s">
        <v>40</v>
      </c>
      <c r="AE14" s="11"/>
      <c r="AF14" s="9" t="s">
        <v>39</v>
      </c>
      <c r="AG14" s="9" t="s">
        <v>39</v>
      </c>
      <c r="AH14" s="9" t="s">
        <v>39</v>
      </c>
      <c r="AI14" s="9" t="s">
        <v>39</v>
      </c>
      <c r="AJ14" s="16" t="s">
        <v>39</v>
      </c>
      <c r="AK14" s="17" t="s">
        <v>39</v>
      </c>
      <c r="AL14" s="17" t="s">
        <v>39</v>
      </c>
      <c r="AM14" s="17" t="s">
        <v>39</v>
      </c>
      <c r="AN14" s="18" t="s">
        <v>40</v>
      </c>
      <c r="AO14" s="11"/>
      <c r="AP14" s="18" t="s">
        <v>40</v>
      </c>
      <c r="AQ14" s="11"/>
      <c r="AR14" s="18" t="s">
        <v>40</v>
      </c>
      <c r="AS14" s="11"/>
      <c r="AT14" s="18" t="s">
        <v>40</v>
      </c>
      <c r="AU14" s="11"/>
    </row>
    <row r="15" spans="1:47" x14ac:dyDescent="0.25">
      <c r="A15" s="2">
        <v>0</v>
      </c>
      <c r="B15" s="2">
        <v>0</v>
      </c>
      <c r="C15" s="2">
        <v>0</v>
      </c>
      <c r="D15" s="2">
        <v>1</v>
      </c>
      <c r="E15" s="2">
        <v>1</v>
      </c>
      <c r="F15" s="2">
        <v>0</v>
      </c>
      <c r="G15" s="2">
        <v>1</v>
      </c>
      <c r="I15" s="2">
        <v>1</v>
      </c>
      <c r="J15" s="2">
        <f t="shared" si="0"/>
        <v>32</v>
      </c>
      <c r="K15" s="2">
        <f t="shared" si="2"/>
        <v>10</v>
      </c>
      <c r="L15" s="2">
        <v>11</v>
      </c>
      <c r="M15" s="2">
        <v>0</v>
      </c>
      <c r="N15" s="2">
        <f t="shared" si="1"/>
        <v>21</v>
      </c>
      <c r="P15" s="4" t="s">
        <v>39</v>
      </c>
      <c r="Q15" s="4" t="s">
        <v>39</v>
      </c>
      <c r="R15" s="4" t="s">
        <v>39</v>
      </c>
      <c r="S15" s="4" t="s">
        <v>39</v>
      </c>
      <c r="T15" s="10" t="s">
        <v>40</v>
      </c>
      <c r="U15" s="11"/>
      <c r="V15" s="12" t="s">
        <v>40</v>
      </c>
      <c r="W15" s="11"/>
      <c r="X15" s="12" t="s">
        <v>40</v>
      </c>
      <c r="Y15" s="11"/>
      <c r="Z15" s="12" t="s">
        <v>40</v>
      </c>
      <c r="AA15" s="11"/>
      <c r="AB15" s="12" t="s">
        <v>40</v>
      </c>
      <c r="AC15" s="11"/>
      <c r="AD15" s="12" t="s">
        <v>40</v>
      </c>
      <c r="AE15" s="11"/>
      <c r="AF15" s="9" t="s">
        <v>39</v>
      </c>
      <c r="AG15" s="9" t="s">
        <v>39</v>
      </c>
      <c r="AH15" s="9" t="s">
        <v>39</v>
      </c>
      <c r="AI15" s="9" t="s">
        <v>39</v>
      </c>
      <c r="AJ15" s="16" t="s">
        <v>39</v>
      </c>
      <c r="AK15" s="17" t="s">
        <v>39</v>
      </c>
      <c r="AL15" s="18" t="s">
        <v>40</v>
      </c>
      <c r="AM15" s="11"/>
      <c r="AN15" s="18" t="s">
        <v>40</v>
      </c>
      <c r="AO15" s="11"/>
      <c r="AP15" s="18" t="s">
        <v>40</v>
      </c>
      <c r="AQ15" s="11"/>
      <c r="AR15" s="18" t="s">
        <v>40</v>
      </c>
      <c r="AS15" s="11"/>
      <c r="AT15" s="18" t="s">
        <v>40</v>
      </c>
      <c r="AU15" s="11"/>
    </row>
    <row r="16" spans="1:47" x14ac:dyDescent="0.25">
      <c r="A16" s="2">
        <v>0</v>
      </c>
      <c r="B16" s="2">
        <v>0</v>
      </c>
      <c r="C16" s="2">
        <v>0</v>
      </c>
      <c r="D16" s="2">
        <v>1</v>
      </c>
      <c r="E16" s="2">
        <v>1</v>
      </c>
      <c r="F16" s="2">
        <v>1</v>
      </c>
      <c r="G16" s="2">
        <v>0</v>
      </c>
      <c r="I16" s="2">
        <v>1</v>
      </c>
      <c r="J16" s="2">
        <f t="shared" si="0"/>
        <v>32</v>
      </c>
      <c r="K16" s="2">
        <f t="shared" si="2"/>
        <v>8</v>
      </c>
      <c r="L16" s="2">
        <v>12</v>
      </c>
      <c r="M16" s="2">
        <v>0</v>
      </c>
      <c r="N16" s="2">
        <f t="shared" si="1"/>
        <v>20</v>
      </c>
      <c r="P16" s="4" t="s">
        <v>39</v>
      </c>
      <c r="Q16" s="4" t="s">
        <v>39</v>
      </c>
      <c r="R16" s="4" t="s">
        <v>39</v>
      </c>
      <c r="S16" s="4" t="s">
        <v>39</v>
      </c>
      <c r="T16" s="10" t="s">
        <v>40</v>
      </c>
      <c r="U16" s="11"/>
      <c r="V16" s="12" t="s">
        <v>40</v>
      </c>
      <c r="W16" s="11"/>
      <c r="X16" s="12" t="s">
        <v>40</v>
      </c>
      <c r="Y16" s="11"/>
      <c r="Z16" s="12" t="s">
        <v>40</v>
      </c>
      <c r="AA16" s="11"/>
      <c r="AB16" s="12" t="s">
        <v>40</v>
      </c>
      <c r="AC16" s="11"/>
      <c r="AD16" s="12" t="s">
        <v>40</v>
      </c>
      <c r="AE16" s="11"/>
      <c r="AF16" s="9" t="s">
        <v>39</v>
      </c>
      <c r="AG16" s="9" t="s">
        <v>39</v>
      </c>
      <c r="AH16" s="9" t="s">
        <v>39</v>
      </c>
      <c r="AI16" s="9" t="s">
        <v>39</v>
      </c>
      <c r="AJ16" s="19" t="s">
        <v>40</v>
      </c>
      <c r="AK16" s="11"/>
      <c r="AL16" s="18" t="s">
        <v>40</v>
      </c>
      <c r="AM16" s="11"/>
      <c r="AN16" s="18" t="s">
        <v>40</v>
      </c>
      <c r="AO16" s="11"/>
      <c r="AP16" s="18" t="s">
        <v>40</v>
      </c>
      <c r="AQ16" s="11"/>
      <c r="AR16" s="18" t="s">
        <v>40</v>
      </c>
      <c r="AS16" s="11"/>
      <c r="AT16" s="18" t="s">
        <v>40</v>
      </c>
      <c r="AU16" s="11"/>
    </row>
    <row r="17" spans="1:47" x14ac:dyDescent="0.25">
      <c r="A17" s="2">
        <v>0</v>
      </c>
      <c r="B17" s="2">
        <v>0</v>
      </c>
      <c r="C17" s="2">
        <v>0</v>
      </c>
      <c r="D17" s="2">
        <v>1</v>
      </c>
      <c r="E17" s="2">
        <v>1</v>
      </c>
      <c r="F17" s="2">
        <v>1</v>
      </c>
      <c r="G17" s="2">
        <v>1</v>
      </c>
      <c r="I17" s="2">
        <v>1</v>
      </c>
      <c r="J17" s="2">
        <f t="shared" si="0"/>
        <v>32</v>
      </c>
      <c r="K17" s="2">
        <f t="shared" si="2"/>
        <v>6</v>
      </c>
      <c r="L17" s="2">
        <v>13</v>
      </c>
      <c r="M17" s="2">
        <v>0</v>
      </c>
      <c r="N17" s="2">
        <f t="shared" si="1"/>
        <v>19</v>
      </c>
      <c r="P17" s="4" t="s">
        <v>39</v>
      </c>
      <c r="Q17" s="4" t="s">
        <v>39</v>
      </c>
      <c r="R17" s="4" t="s">
        <v>39</v>
      </c>
      <c r="S17" s="4" t="s">
        <v>39</v>
      </c>
      <c r="T17" s="10" t="s">
        <v>40</v>
      </c>
      <c r="U17" s="11"/>
      <c r="V17" s="12" t="s">
        <v>40</v>
      </c>
      <c r="W17" s="11"/>
      <c r="X17" s="12" t="s">
        <v>40</v>
      </c>
      <c r="Y17" s="11"/>
      <c r="Z17" s="12" t="s">
        <v>40</v>
      </c>
      <c r="AA17" s="11"/>
      <c r="AB17" s="12" t="s">
        <v>40</v>
      </c>
      <c r="AC17" s="11"/>
      <c r="AD17" s="12" t="s">
        <v>40</v>
      </c>
      <c r="AE17" s="11"/>
      <c r="AF17" s="9" t="s">
        <v>39</v>
      </c>
      <c r="AG17" s="9" t="s">
        <v>39</v>
      </c>
      <c r="AH17" s="19" t="s">
        <v>40</v>
      </c>
      <c r="AI17" s="11"/>
      <c r="AJ17" s="19" t="s">
        <v>40</v>
      </c>
      <c r="AK17" s="11"/>
      <c r="AL17" s="18" t="s">
        <v>40</v>
      </c>
      <c r="AM17" s="11"/>
      <c r="AN17" s="18" t="s">
        <v>40</v>
      </c>
      <c r="AO17" s="11"/>
      <c r="AP17" s="18" t="s">
        <v>40</v>
      </c>
      <c r="AQ17" s="11"/>
      <c r="AR17" s="18" t="s">
        <v>40</v>
      </c>
      <c r="AS17" s="11"/>
      <c r="AT17" s="18" t="s">
        <v>40</v>
      </c>
      <c r="AU17" s="11"/>
    </row>
    <row r="18" spans="1:47" x14ac:dyDescent="0.25">
      <c r="A18" s="2">
        <v>0</v>
      </c>
      <c r="B18" s="2">
        <v>0</v>
      </c>
      <c r="C18" s="2">
        <v>0</v>
      </c>
      <c r="D18" s="2">
        <v>1</v>
      </c>
      <c r="E18" s="2">
        <v>0</v>
      </c>
      <c r="F18" s="2">
        <v>0</v>
      </c>
      <c r="G18" s="2">
        <v>0</v>
      </c>
      <c r="I18" s="2">
        <v>1</v>
      </c>
      <c r="J18" s="2">
        <f t="shared" si="0"/>
        <v>32</v>
      </c>
      <c r="K18" s="2">
        <f t="shared" si="2"/>
        <v>4</v>
      </c>
      <c r="L18" s="2">
        <v>14</v>
      </c>
      <c r="M18" s="2">
        <v>0</v>
      </c>
      <c r="N18" s="2">
        <f t="shared" si="1"/>
        <v>18</v>
      </c>
      <c r="P18" s="4" t="s">
        <v>39</v>
      </c>
      <c r="Q18" s="4" t="s">
        <v>39</v>
      </c>
      <c r="R18" s="4" t="s">
        <v>39</v>
      </c>
      <c r="S18" s="4" t="s">
        <v>39</v>
      </c>
      <c r="T18" s="10" t="s">
        <v>40</v>
      </c>
      <c r="U18" s="11"/>
      <c r="V18" s="12" t="s">
        <v>40</v>
      </c>
      <c r="W18" s="11"/>
      <c r="X18" s="12" t="s">
        <v>40</v>
      </c>
      <c r="Y18" s="11"/>
      <c r="Z18" s="12" t="s">
        <v>40</v>
      </c>
      <c r="AA18" s="11"/>
      <c r="AB18" s="12" t="s">
        <v>40</v>
      </c>
      <c r="AC18" s="11"/>
      <c r="AD18" s="12" t="s">
        <v>40</v>
      </c>
      <c r="AE18" s="11"/>
      <c r="AF18" s="19" t="s">
        <v>40</v>
      </c>
      <c r="AG18" s="11"/>
      <c r="AH18" s="19" t="s">
        <v>40</v>
      </c>
      <c r="AI18" s="11"/>
      <c r="AJ18" s="19" t="s">
        <v>40</v>
      </c>
      <c r="AK18" s="11"/>
      <c r="AL18" s="18" t="s">
        <v>40</v>
      </c>
      <c r="AM18" s="11"/>
      <c r="AN18" s="18" t="s">
        <v>40</v>
      </c>
      <c r="AO18" s="11"/>
      <c r="AP18" s="18" t="s">
        <v>40</v>
      </c>
      <c r="AQ18" s="11"/>
      <c r="AR18" s="18" t="s">
        <v>40</v>
      </c>
      <c r="AS18" s="11"/>
      <c r="AT18" s="18" t="s">
        <v>40</v>
      </c>
      <c r="AU18" s="11"/>
    </row>
    <row r="19" spans="1:47" x14ac:dyDescent="0.25">
      <c r="A19" s="2">
        <v>0</v>
      </c>
      <c r="B19" s="2">
        <v>0</v>
      </c>
      <c r="C19" s="2">
        <v>0</v>
      </c>
      <c r="D19" s="2">
        <v>0</v>
      </c>
      <c r="E19" s="2">
        <v>0</v>
      </c>
      <c r="F19" s="2">
        <v>1</v>
      </c>
      <c r="G19" s="2">
        <v>1</v>
      </c>
      <c r="I19" s="2">
        <v>1</v>
      </c>
      <c r="J19" s="2">
        <f t="shared" si="0"/>
        <v>32</v>
      </c>
      <c r="K19" s="2">
        <f t="shared" si="2"/>
        <v>26</v>
      </c>
      <c r="L19" s="2">
        <v>1</v>
      </c>
      <c r="M19" s="2">
        <v>1</v>
      </c>
      <c r="N19" s="2">
        <f t="shared" si="1"/>
        <v>28</v>
      </c>
      <c r="P19" s="4" t="s">
        <v>39</v>
      </c>
      <c r="Q19" s="4" t="s">
        <v>39</v>
      </c>
      <c r="R19" s="4" t="s">
        <v>39</v>
      </c>
      <c r="S19" s="4" t="s">
        <v>39</v>
      </c>
      <c r="T19" s="4" t="s">
        <v>39</v>
      </c>
      <c r="U19" s="4" t="s">
        <v>39</v>
      </c>
      <c r="V19" s="4" t="s">
        <v>39</v>
      </c>
      <c r="W19" s="4" t="s">
        <v>39</v>
      </c>
      <c r="X19" s="4" t="s">
        <v>39</v>
      </c>
      <c r="Y19" s="4" t="s">
        <v>39</v>
      </c>
      <c r="Z19" s="6" t="s">
        <v>40</v>
      </c>
      <c r="AA19" s="7"/>
      <c r="AB19" s="6" t="s">
        <v>41</v>
      </c>
      <c r="AC19" s="8"/>
      <c r="AD19" s="8"/>
      <c r="AE19" s="7"/>
      <c r="AF19" s="9" t="s">
        <v>39</v>
      </c>
      <c r="AG19" s="9" t="s">
        <v>39</v>
      </c>
      <c r="AH19" s="9" t="s">
        <v>39</v>
      </c>
      <c r="AI19" s="9" t="s">
        <v>39</v>
      </c>
      <c r="AJ19" s="9" t="s">
        <v>39</v>
      </c>
      <c r="AK19" s="9" t="s">
        <v>39</v>
      </c>
      <c r="AL19" s="9" t="s">
        <v>39</v>
      </c>
      <c r="AM19" s="9" t="s">
        <v>39</v>
      </c>
      <c r="AN19" s="9" t="s">
        <v>39</v>
      </c>
      <c r="AO19" s="9" t="s">
        <v>39</v>
      </c>
      <c r="AP19" s="9" t="s">
        <v>39</v>
      </c>
      <c r="AQ19" s="9" t="s">
        <v>39</v>
      </c>
      <c r="AR19" s="9" t="s">
        <v>39</v>
      </c>
      <c r="AS19" s="9" t="s">
        <v>39</v>
      </c>
      <c r="AT19" s="9" t="s">
        <v>39</v>
      </c>
      <c r="AU19" s="9" t="s">
        <v>39</v>
      </c>
    </row>
    <row r="20" spans="1:47" x14ac:dyDescent="0.25">
      <c r="A20" s="2">
        <v>0</v>
      </c>
      <c r="B20" s="2">
        <v>0</v>
      </c>
      <c r="C20" s="2">
        <v>0</v>
      </c>
      <c r="D20" s="2">
        <v>0</v>
      </c>
      <c r="E20" s="2">
        <v>1</v>
      </c>
      <c r="F20" s="2">
        <v>0</v>
      </c>
      <c r="G20" s="2">
        <v>0</v>
      </c>
      <c r="I20" s="2">
        <v>1</v>
      </c>
      <c r="J20" s="2">
        <f t="shared" si="0"/>
        <v>32</v>
      </c>
      <c r="K20" s="2">
        <f t="shared" si="2"/>
        <v>24</v>
      </c>
      <c r="L20" s="2">
        <v>2</v>
      </c>
      <c r="M20" s="2">
        <v>1</v>
      </c>
      <c r="N20" s="2">
        <f t="shared" si="1"/>
        <v>27</v>
      </c>
      <c r="P20" s="4" t="s">
        <v>39</v>
      </c>
      <c r="Q20" s="4" t="s">
        <v>39</v>
      </c>
      <c r="R20" s="4" t="s">
        <v>39</v>
      </c>
      <c r="S20" s="4" t="s">
        <v>39</v>
      </c>
      <c r="T20" s="4" t="s">
        <v>39</v>
      </c>
      <c r="U20" s="4" t="s">
        <v>39</v>
      </c>
      <c r="V20" s="4" t="s">
        <v>39</v>
      </c>
      <c r="W20" s="4" t="s">
        <v>39</v>
      </c>
      <c r="X20" s="6" t="s">
        <v>40</v>
      </c>
      <c r="Y20" s="7"/>
      <c r="Z20" s="6" t="s">
        <v>40</v>
      </c>
      <c r="AA20" s="7"/>
      <c r="AB20" s="6" t="s">
        <v>41</v>
      </c>
      <c r="AC20" s="8"/>
      <c r="AD20" s="8"/>
      <c r="AE20" s="7"/>
      <c r="AF20" s="9" t="s">
        <v>39</v>
      </c>
      <c r="AG20" s="9" t="s">
        <v>39</v>
      </c>
      <c r="AH20" s="9" t="s">
        <v>39</v>
      </c>
      <c r="AI20" s="9" t="s">
        <v>39</v>
      </c>
      <c r="AJ20" s="9" t="s">
        <v>39</v>
      </c>
      <c r="AK20" s="9" t="s">
        <v>39</v>
      </c>
      <c r="AL20" s="9" t="s">
        <v>39</v>
      </c>
      <c r="AM20" s="9" t="s">
        <v>39</v>
      </c>
      <c r="AN20" s="9" t="s">
        <v>39</v>
      </c>
      <c r="AO20" s="9" t="s">
        <v>39</v>
      </c>
      <c r="AP20" s="9" t="s">
        <v>39</v>
      </c>
      <c r="AQ20" s="9" t="s">
        <v>39</v>
      </c>
      <c r="AR20" s="9" t="s">
        <v>39</v>
      </c>
      <c r="AS20" s="9" t="s">
        <v>39</v>
      </c>
      <c r="AT20" s="9" t="s">
        <v>39</v>
      </c>
      <c r="AU20" s="9" t="s">
        <v>39</v>
      </c>
    </row>
    <row r="24" spans="1:47" x14ac:dyDescent="0.25">
      <c r="U24" s="3">
        <v>0</v>
      </c>
      <c r="V24" s="3">
        <v>1</v>
      </c>
      <c r="W24" s="3">
        <v>2</v>
      </c>
      <c r="X24" s="3">
        <v>3</v>
      </c>
    </row>
    <row r="25" spans="1:47" x14ac:dyDescent="0.25">
      <c r="S25" s="3">
        <v>0</v>
      </c>
      <c r="T25" s="3">
        <v>0</v>
      </c>
      <c r="U25" s="3" t="s">
        <v>39</v>
      </c>
      <c r="V25" s="3" t="s">
        <v>39</v>
      </c>
      <c r="W25" s="3" t="s">
        <v>39</v>
      </c>
      <c r="X25" s="3" t="s">
        <v>39</v>
      </c>
    </row>
    <row r="26" spans="1:47" x14ac:dyDescent="0.25">
      <c r="S26" s="3">
        <v>1</v>
      </c>
      <c r="T26" s="3">
        <v>0</v>
      </c>
      <c r="U26" s="3" t="s">
        <v>40</v>
      </c>
      <c r="V26" s="3" t="s">
        <v>40</v>
      </c>
      <c r="W26" s="3" t="s">
        <v>39</v>
      </c>
      <c r="X26" s="3" t="s">
        <v>39</v>
      </c>
    </row>
    <row r="27" spans="1:47" x14ac:dyDescent="0.25">
      <c r="S27" s="3">
        <v>1</v>
      </c>
      <c r="T27" s="3">
        <v>1</v>
      </c>
      <c r="U27" s="3" t="s">
        <v>40</v>
      </c>
      <c r="V27" s="3" t="s">
        <v>40</v>
      </c>
      <c r="W27" s="3" t="s">
        <v>40</v>
      </c>
      <c r="X27" s="3" t="s">
        <v>40</v>
      </c>
    </row>
    <row r="28" spans="1:47" x14ac:dyDescent="0.25">
      <c r="S28" s="3">
        <v>0</v>
      </c>
      <c r="T28" s="3">
        <v>1</v>
      </c>
      <c r="U28" s="3" t="s">
        <v>41</v>
      </c>
      <c r="V28" s="3" t="s">
        <v>41</v>
      </c>
      <c r="W28" s="3" t="s">
        <v>41</v>
      </c>
      <c r="X28" s="3" t="s">
        <v>41</v>
      </c>
    </row>
  </sheetData>
  <mergeCells count="1">
    <mergeCell ref="A1:G1"/>
  </mergeCells>
  <phoneticPr fontId="2" type="noConversion"/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33"/>
  <sheetViews>
    <sheetView tabSelected="1" workbookViewId="0">
      <selection activeCell="P20" sqref="P20"/>
    </sheetView>
  </sheetViews>
  <sheetFormatPr defaultColWidth="11.6328125" defaultRowHeight="15" x14ac:dyDescent="0.25"/>
  <cols>
    <col min="1" max="4" width="11.6328125" style="3"/>
    <col min="5" max="16384" width="11.6328125" style="2"/>
  </cols>
  <sheetData>
    <row r="2" spans="1:13" x14ac:dyDescent="0.25">
      <c r="A2" s="20" t="s">
        <v>80</v>
      </c>
      <c r="B2" s="20" t="s">
        <v>111</v>
      </c>
      <c r="C2" s="9" t="s">
        <v>38</v>
      </c>
      <c r="D2" s="21"/>
      <c r="E2" s="21"/>
      <c r="G2" s="9" t="s">
        <v>39</v>
      </c>
      <c r="H2" s="9" t="s">
        <v>39</v>
      </c>
      <c r="I2" s="9" t="s">
        <v>39</v>
      </c>
      <c r="J2" s="9" t="s">
        <v>39</v>
      </c>
      <c r="K2" s="9" t="s">
        <v>39</v>
      </c>
      <c r="L2" s="9" t="s">
        <v>39</v>
      </c>
      <c r="M2" s="9" t="s">
        <v>39</v>
      </c>
    </row>
    <row r="3" spans="1:13" x14ac:dyDescent="0.25">
      <c r="A3" s="20" t="s">
        <v>79</v>
      </c>
      <c r="B3" s="20" t="s">
        <v>110</v>
      </c>
      <c r="C3" s="9" t="s">
        <v>37</v>
      </c>
      <c r="D3" s="16" t="s">
        <v>37</v>
      </c>
      <c r="E3" s="22"/>
      <c r="G3" s="9" t="s">
        <v>39</v>
      </c>
      <c r="H3" s="9" t="s">
        <v>39</v>
      </c>
      <c r="I3" s="9" t="s">
        <v>39</v>
      </c>
      <c r="J3" s="9" t="s">
        <v>39</v>
      </c>
      <c r="K3" s="9" t="s">
        <v>39</v>
      </c>
      <c r="L3" s="9" t="s">
        <v>39</v>
      </c>
      <c r="M3" s="9" t="s">
        <v>39</v>
      </c>
    </row>
    <row r="4" spans="1:13" x14ac:dyDescent="0.25">
      <c r="A4" s="20" t="s">
        <v>78</v>
      </c>
      <c r="B4" s="20" t="s">
        <v>109</v>
      </c>
      <c r="C4" s="9" t="s">
        <v>36</v>
      </c>
      <c r="D4" s="21"/>
      <c r="E4" s="22"/>
      <c r="G4" s="9" t="s">
        <v>39</v>
      </c>
      <c r="H4" s="9" t="s">
        <v>39</v>
      </c>
      <c r="I4" s="9" t="s">
        <v>39</v>
      </c>
      <c r="J4" s="9" t="s">
        <v>39</v>
      </c>
      <c r="K4" s="9" t="s">
        <v>39</v>
      </c>
      <c r="L4" s="9" t="s">
        <v>39</v>
      </c>
      <c r="M4" s="9" t="s">
        <v>39</v>
      </c>
    </row>
    <row r="5" spans="1:13" x14ac:dyDescent="0.25">
      <c r="A5" s="20" t="s">
        <v>77</v>
      </c>
      <c r="B5" s="20" t="s">
        <v>108</v>
      </c>
      <c r="C5" s="9" t="s">
        <v>35</v>
      </c>
      <c r="D5" s="16" t="s">
        <v>35</v>
      </c>
      <c r="E5" s="16" t="s">
        <v>35</v>
      </c>
      <c r="G5" s="9" t="s">
        <v>39</v>
      </c>
      <c r="H5" s="9" t="s">
        <v>39</v>
      </c>
      <c r="I5" s="9" t="s">
        <v>39</v>
      </c>
      <c r="J5" s="9" t="s">
        <v>39</v>
      </c>
      <c r="K5" s="9" t="s">
        <v>39</v>
      </c>
      <c r="L5" s="9" t="s">
        <v>39</v>
      </c>
      <c r="M5" s="9" t="s">
        <v>39</v>
      </c>
    </row>
    <row r="6" spans="1:13" x14ac:dyDescent="0.25">
      <c r="A6" s="20" t="s">
        <v>76</v>
      </c>
      <c r="B6" s="20" t="s">
        <v>107</v>
      </c>
      <c r="C6" s="9" t="s">
        <v>34</v>
      </c>
      <c r="D6" s="21"/>
      <c r="E6" s="21"/>
      <c r="G6" s="9" t="s">
        <v>39</v>
      </c>
      <c r="H6" s="9" t="s">
        <v>39</v>
      </c>
      <c r="I6" s="9" t="s">
        <v>39</v>
      </c>
      <c r="J6" s="9" t="s">
        <v>39</v>
      </c>
      <c r="K6" s="9" t="s">
        <v>39</v>
      </c>
      <c r="L6" s="9" t="s">
        <v>39</v>
      </c>
      <c r="M6" s="9" t="s">
        <v>39</v>
      </c>
    </row>
    <row r="7" spans="1:13" x14ac:dyDescent="0.25">
      <c r="A7" s="20" t="s">
        <v>75</v>
      </c>
      <c r="B7" s="20" t="s">
        <v>106</v>
      </c>
      <c r="C7" s="9" t="s">
        <v>33</v>
      </c>
      <c r="D7" s="16" t="s">
        <v>33</v>
      </c>
      <c r="E7" s="22"/>
      <c r="G7" s="9" t="s">
        <v>39</v>
      </c>
      <c r="H7" s="9" t="s">
        <v>39</v>
      </c>
      <c r="I7" s="9" t="s">
        <v>39</v>
      </c>
      <c r="J7" s="9" t="s">
        <v>39</v>
      </c>
      <c r="K7" s="9" t="s">
        <v>39</v>
      </c>
      <c r="L7" s="9" t="s">
        <v>39</v>
      </c>
      <c r="M7" s="9" t="s">
        <v>39</v>
      </c>
    </row>
    <row r="8" spans="1:13" x14ac:dyDescent="0.25">
      <c r="A8" s="20" t="s">
        <v>74</v>
      </c>
      <c r="B8" s="20" t="s">
        <v>105</v>
      </c>
      <c r="C8" s="9" t="s">
        <v>32</v>
      </c>
      <c r="D8" s="21"/>
      <c r="E8" s="22"/>
      <c r="G8" s="9" t="s">
        <v>39</v>
      </c>
      <c r="H8" s="9" t="s">
        <v>39</v>
      </c>
      <c r="I8" s="9" t="s">
        <v>39</v>
      </c>
      <c r="J8" s="9" t="s">
        <v>39</v>
      </c>
      <c r="K8" s="9" t="s">
        <v>39</v>
      </c>
      <c r="L8" s="9" t="s">
        <v>39</v>
      </c>
      <c r="M8" s="9" t="s">
        <v>39</v>
      </c>
    </row>
    <row r="9" spans="1:13" x14ac:dyDescent="0.25">
      <c r="A9" s="20" t="s">
        <v>73</v>
      </c>
      <c r="B9" s="20" t="s">
        <v>104</v>
      </c>
      <c r="C9" s="9" t="s">
        <v>31</v>
      </c>
      <c r="D9" s="16" t="s">
        <v>31</v>
      </c>
      <c r="E9" s="16" t="s">
        <v>31</v>
      </c>
      <c r="G9" s="9" t="s">
        <v>39</v>
      </c>
      <c r="H9" s="9" t="s">
        <v>39</v>
      </c>
      <c r="I9" s="9" t="s">
        <v>39</v>
      </c>
      <c r="J9" s="9" t="s">
        <v>39</v>
      </c>
      <c r="K9" s="9" t="s">
        <v>39</v>
      </c>
      <c r="L9" s="9" t="s">
        <v>39</v>
      </c>
      <c r="M9" s="9" t="s">
        <v>39</v>
      </c>
    </row>
    <row r="10" spans="1:13" x14ac:dyDescent="0.25">
      <c r="A10" s="20" t="s">
        <v>72</v>
      </c>
      <c r="B10" s="20" t="s">
        <v>103</v>
      </c>
      <c r="C10" s="9" t="s">
        <v>30</v>
      </c>
      <c r="D10" s="21"/>
      <c r="E10" s="21"/>
      <c r="G10" s="9" t="s">
        <v>39</v>
      </c>
      <c r="H10" s="9" t="s">
        <v>39</v>
      </c>
      <c r="I10" s="9" t="s">
        <v>39</v>
      </c>
      <c r="J10" s="9" t="s">
        <v>39</v>
      </c>
      <c r="K10" s="9" t="s">
        <v>39</v>
      </c>
      <c r="L10" s="9" t="s">
        <v>39</v>
      </c>
      <c r="M10" s="9" t="s">
        <v>39</v>
      </c>
    </row>
    <row r="11" spans="1:13" x14ac:dyDescent="0.25">
      <c r="A11" s="20" t="s">
        <v>71</v>
      </c>
      <c r="B11" s="20" t="s">
        <v>102</v>
      </c>
      <c r="C11" s="9" t="s">
        <v>29</v>
      </c>
      <c r="D11" s="16" t="s">
        <v>29</v>
      </c>
      <c r="E11" s="22"/>
      <c r="G11" s="9" t="s">
        <v>39</v>
      </c>
      <c r="H11" s="9" t="s">
        <v>39</v>
      </c>
      <c r="I11" s="9" t="s">
        <v>39</v>
      </c>
      <c r="J11" s="9" t="s">
        <v>39</v>
      </c>
      <c r="K11" s="9" t="s">
        <v>39</v>
      </c>
      <c r="L11" s="9" t="s">
        <v>39</v>
      </c>
      <c r="M11" s="9" t="s">
        <v>39</v>
      </c>
    </row>
    <row r="12" spans="1:13" x14ac:dyDescent="0.25">
      <c r="A12" s="20" t="s">
        <v>70</v>
      </c>
      <c r="B12" s="20" t="s">
        <v>101</v>
      </c>
      <c r="C12" s="9" t="s">
        <v>28</v>
      </c>
      <c r="D12" s="21"/>
      <c r="E12" s="22"/>
      <c r="G12" s="9" t="s">
        <v>39</v>
      </c>
      <c r="H12" s="9" t="s">
        <v>39</v>
      </c>
      <c r="I12" s="9" t="s">
        <v>39</v>
      </c>
      <c r="J12" s="9" t="s">
        <v>39</v>
      </c>
      <c r="K12" s="9" t="s">
        <v>39</v>
      </c>
      <c r="L12" s="9" t="s">
        <v>39</v>
      </c>
      <c r="M12" s="9" t="s">
        <v>39</v>
      </c>
    </row>
    <row r="13" spans="1:13" x14ac:dyDescent="0.25">
      <c r="A13" s="20" t="s">
        <v>69</v>
      </c>
      <c r="B13" s="20" t="s">
        <v>100</v>
      </c>
      <c r="C13" s="9" t="s">
        <v>27</v>
      </c>
      <c r="D13" s="16" t="s">
        <v>27</v>
      </c>
      <c r="E13" s="16" t="s">
        <v>27</v>
      </c>
      <c r="G13" s="9" t="s">
        <v>39</v>
      </c>
      <c r="H13" s="9" t="s">
        <v>39</v>
      </c>
      <c r="I13" s="9" t="s">
        <v>39</v>
      </c>
      <c r="J13" s="9" t="s">
        <v>39</v>
      </c>
      <c r="K13" s="9" t="s">
        <v>39</v>
      </c>
      <c r="L13" s="9" t="s">
        <v>39</v>
      </c>
      <c r="M13" s="9" t="s">
        <v>39</v>
      </c>
    </row>
    <row r="14" spans="1:13" x14ac:dyDescent="0.25">
      <c r="A14" s="20" t="s">
        <v>68</v>
      </c>
      <c r="B14" s="20" t="s">
        <v>99</v>
      </c>
      <c r="C14" s="9" t="s">
        <v>26</v>
      </c>
      <c r="D14" s="21"/>
      <c r="E14" s="21"/>
      <c r="G14" s="9" t="s">
        <v>39</v>
      </c>
      <c r="H14" s="9" t="s">
        <v>39</v>
      </c>
      <c r="I14" s="9" t="s">
        <v>39</v>
      </c>
      <c r="J14" s="9" t="s">
        <v>39</v>
      </c>
      <c r="K14" s="9" t="s">
        <v>39</v>
      </c>
      <c r="L14" s="9" t="s">
        <v>39</v>
      </c>
      <c r="M14" s="9" t="s">
        <v>39</v>
      </c>
    </row>
    <row r="15" spans="1:13" x14ac:dyDescent="0.25">
      <c r="A15" s="20" t="s">
        <v>67</v>
      </c>
      <c r="B15" s="20" t="s">
        <v>98</v>
      </c>
      <c r="C15" s="9" t="s">
        <v>25</v>
      </c>
      <c r="D15" s="16" t="s">
        <v>25</v>
      </c>
      <c r="E15" s="22"/>
      <c r="G15" s="9" t="s">
        <v>39</v>
      </c>
      <c r="H15" s="9" t="s">
        <v>39</v>
      </c>
      <c r="I15" s="9" t="s">
        <v>39</v>
      </c>
      <c r="J15" s="9" t="s">
        <v>39</v>
      </c>
      <c r="K15" s="9" t="s">
        <v>39</v>
      </c>
      <c r="L15" s="9" t="s">
        <v>39</v>
      </c>
      <c r="M15" s="9" t="s">
        <v>39</v>
      </c>
    </row>
    <row r="16" spans="1:13" x14ac:dyDescent="0.25">
      <c r="A16" s="20" t="s">
        <v>66</v>
      </c>
      <c r="B16" s="20" t="s">
        <v>97</v>
      </c>
      <c r="C16" s="9" t="s">
        <v>24</v>
      </c>
      <c r="D16" s="21"/>
      <c r="E16" s="22"/>
      <c r="G16" s="9" t="s">
        <v>39</v>
      </c>
      <c r="H16" s="9" t="s">
        <v>39</v>
      </c>
      <c r="I16" s="9" t="s">
        <v>39</v>
      </c>
      <c r="J16" s="9" t="s">
        <v>39</v>
      </c>
      <c r="K16" s="9" t="s">
        <v>39</v>
      </c>
      <c r="L16" s="9" t="s">
        <v>39</v>
      </c>
      <c r="M16" s="9" t="s">
        <v>39</v>
      </c>
    </row>
    <row r="17" spans="1:13" x14ac:dyDescent="0.25">
      <c r="A17" s="20" t="s">
        <v>65</v>
      </c>
      <c r="B17" s="20" t="s">
        <v>96</v>
      </c>
      <c r="C17" s="9" t="s">
        <v>23</v>
      </c>
      <c r="D17" s="16" t="s">
        <v>23</v>
      </c>
      <c r="E17" s="16" t="s">
        <v>23</v>
      </c>
      <c r="G17" s="9" t="s">
        <v>39</v>
      </c>
      <c r="H17" s="9" t="s">
        <v>39</v>
      </c>
      <c r="I17" s="9" t="s">
        <v>39</v>
      </c>
      <c r="J17" s="9" t="s">
        <v>39</v>
      </c>
      <c r="K17" s="9" t="s">
        <v>39</v>
      </c>
      <c r="L17" s="9" t="s">
        <v>39</v>
      </c>
      <c r="M17" s="9" t="s">
        <v>39</v>
      </c>
    </row>
    <row r="18" spans="1:13" x14ac:dyDescent="0.25">
      <c r="A18" s="23" t="s">
        <v>64</v>
      </c>
      <c r="B18" s="23" t="s">
        <v>95</v>
      </c>
      <c r="C18" s="4" t="s">
        <v>22</v>
      </c>
      <c r="D18" s="21"/>
      <c r="E18" s="21"/>
      <c r="G18" s="4" t="s">
        <v>39</v>
      </c>
      <c r="H18" s="21" t="s">
        <v>39</v>
      </c>
      <c r="I18" s="21" t="s">
        <v>39</v>
      </c>
      <c r="J18" s="21" t="s">
        <v>39</v>
      </c>
      <c r="K18" s="21" t="s">
        <v>39</v>
      </c>
      <c r="L18" s="21" t="s">
        <v>39</v>
      </c>
      <c r="M18" s="21" t="s">
        <v>39</v>
      </c>
    </row>
    <row r="19" spans="1:13" x14ac:dyDescent="0.25">
      <c r="A19" s="23" t="s">
        <v>63</v>
      </c>
      <c r="B19" s="23" t="s">
        <v>94</v>
      </c>
      <c r="C19" s="4" t="s">
        <v>21</v>
      </c>
      <c r="D19" s="24" t="s">
        <v>21</v>
      </c>
      <c r="E19" s="22"/>
      <c r="G19" s="4" t="s">
        <v>39</v>
      </c>
      <c r="H19" s="24" t="s">
        <v>40</v>
      </c>
      <c r="I19" s="24" t="s">
        <v>40</v>
      </c>
      <c r="J19" s="24" t="s">
        <v>40</v>
      </c>
      <c r="K19" s="24" t="s">
        <v>40</v>
      </c>
      <c r="L19" s="24" t="s">
        <v>40</v>
      </c>
      <c r="M19" s="24" t="s">
        <v>40</v>
      </c>
    </row>
    <row r="20" spans="1:13" x14ac:dyDescent="0.25">
      <c r="A20" s="23" t="s">
        <v>62</v>
      </c>
      <c r="B20" s="23" t="s">
        <v>93</v>
      </c>
      <c r="C20" s="4" t="s">
        <v>20</v>
      </c>
      <c r="D20" s="21"/>
      <c r="E20" s="22"/>
      <c r="G20" s="4" t="s">
        <v>39</v>
      </c>
      <c r="H20" s="4" t="s">
        <v>39</v>
      </c>
      <c r="I20" s="21" t="s">
        <v>39</v>
      </c>
      <c r="J20" s="21" t="s">
        <v>39</v>
      </c>
      <c r="K20" s="21" t="s">
        <v>39</v>
      </c>
      <c r="L20" s="21" t="s">
        <v>39</v>
      </c>
      <c r="M20" s="21" t="s">
        <v>39</v>
      </c>
    </row>
    <row r="21" spans="1:13" x14ac:dyDescent="0.25">
      <c r="A21" s="23" t="s">
        <v>61</v>
      </c>
      <c r="B21" s="23" t="s">
        <v>92</v>
      </c>
      <c r="C21" s="4" t="s">
        <v>19</v>
      </c>
      <c r="D21" s="24" t="s">
        <v>19</v>
      </c>
      <c r="E21" s="24" t="s">
        <v>19</v>
      </c>
      <c r="G21" s="4" t="s">
        <v>39</v>
      </c>
      <c r="H21" s="4" t="s">
        <v>39</v>
      </c>
      <c r="I21" s="24" t="s">
        <v>40</v>
      </c>
      <c r="J21" s="24" t="s">
        <v>40</v>
      </c>
      <c r="K21" s="24" t="s">
        <v>40</v>
      </c>
      <c r="L21" s="24" t="s">
        <v>40</v>
      </c>
      <c r="M21" s="24" t="s">
        <v>40</v>
      </c>
    </row>
    <row r="22" spans="1:13" x14ac:dyDescent="0.25">
      <c r="A22" s="23" t="s">
        <v>60</v>
      </c>
      <c r="B22" s="23" t="s">
        <v>91</v>
      </c>
      <c r="C22" s="4" t="s">
        <v>18</v>
      </c>
      <c r="D22" s="21"/>
      <c r="E22" s="21"/>
      <c r="G22" s="4" t="s">
        <v>39</v>
      </c>
      <c r="H22" s="4" t="s">
        <v>39</v>
      </c>
      <c r="I22" s="4" t="s">
        <v>39</v>
      </c>
      <c r="J22" s="21" t="s">
        <v>39</v>
      </c>
      <c r="K22" s="21" t="s">
        <v>39</v>
      </c>
      <c r="L22" s="21" t="s">
        <v>39</v>
      </c>
      <c r="M22" s="21" t="s">
        <v>39</v>
      </c>
    </row>
    <row r="23" spans="1:13" x14ac:dyDescent="0.25">
      <c r="A23" s="23" t="s">
        <v>59</v>
      </c>
      <c r="B23" s="23" t="s">
        <v>90</v>
      </c>
      <c r="C23" s="4" t="s">
        <v>17</v>
      </c>
      <c r="D23" s="24" t="s">
        <v>17</v>
      </c>
      <c r="E23" s="22"/>
      <c r="G23" s="4" t="s">
        <v>39</v>
      </c>
      <c r="H23" s="4" t="s">
        <v>39</v>
      </c>
      <c r="I23" s="4" t="s">
        <v>39</v>
      </c>
      <c r="J23" s="24" t="s">
        <v>40</v>
      </c>
      <c r="K23" s="24" t="s">
        <v>40</v>
      </c>
      <c r="L23" s="24" t="s">
        <v>40</v>
      </c>
      <c r="M23" s="24" t="s">
        <v>40</v>
      </c>
    </row>
    <row r="24" spans="1:13" x14ac:dyDescent="0.25">
      <c r="A24" s="23" t="s">
        <v>58</v>
      </c>
      <c r="B24" s="23" t="s">
        <v>89</v>
      </c>
      <c r="C24" s="4" t="s">
        <v>16</v>
      </c>
      <c r="D24" s="21"/>
      <c r="E24" s="22"/>
      <c r="G24" s="4" t="s">
        <v>39</v>
      </c>
      <c r="H24" s="4" t="s">
        <v>39</v>
      </c>
      <c r="I24" s="4" t="s">
        <v>39</v>
      </c>
      <c r="J24" s="4" t="s">
        <v>39</v>
      </c>
      <c r="K24" s="21" t="s">
        <v>39</v>
      </c>
      <c r="L24" s="21" t="s">
        <v>39</v>
      </c>
      <c r="M24" s="21" t="s">
        <v>39</v>
      </c>
    </row>
    <row r="25" spans="1:13" x14ac:dyDescent="0.25">
      <c r="A25" s="23" t="s">
        <v>57</v>
      </c>
      <c r="B25" s="23" t="s">
        <v>112</v>
      </c>
      <c r="C25" s="4" t="s">
        <v>15</v>
      </c>
      <c r="D25" s="24" t="s">
        <v>15</v>
      </c>
      <c r="E25" s="24" t="s">
        <v>15</v>
      </c>
      <c r="G25" s="4" t="s">
        <v>39</v>
      </c>
      <c r="H25" s="4" t="s">
        <v>39</v>
      </c>
      <c r="I25" s="4" t="s">
        <v>39</v>
      </c>
      <c r="J25" s="4" t="s">
        <v>39</v>
      </c>
      <c r="K25" s="24" t="s">
        <v>40</v>
      </c>
      <c r="L25" s="24" t="s">
        <v>40</v>
      </c>
      <c r="M25" s="24" t="s">
        <v>40</v>
      </c>
    </row>
    <row r="26" spans="1:13" x14ac:dyDescent="0.25">
      <c r="A26" s="23" t="s">
        <v>56</v>
      </c>
      <c r="B26" s="23" t="s">
        <v>87</v>
      </c>
      <c r="C26" s="4" t="s">
        <v>14</v>
      </c>
      <c r="D26" s="21"/>
      <c r="E26" s="21"/>
      <c r="G26" s="4" t="s">
        <v>39</v>
      </c>
      <c r="H26" s="4" t="s">
        <v>39</v>
      </c>
      <c r="I26" s="4" t="s">
        <v>39</v>
      </c>
      <c r="J26" s="4" t="s">
        <v>39</v>
      </c>
      <c r="K26" s="4" t="s">
        <v>39</v>
      </c>
      <c r="L26" s="21" t="s">
        <v>39</v>
      </c>
      <c r="M26" s="21" t="s">
        <v>39</v>
      </c>
    </row>
    <row r="27" spans="1:13" x14ac:dyDescent="0.25">
      <c r="A27" s="23" t="s">
        <v>55</v>
      </c>
      <c r="B27" s="23" t="s">
        <v>86</v>
      </c>
      <c r="C27" s="4" t="s">
        <v>13</v>
      </c>
      <c r="D27" s="24" t="s">
        <v>13</v>
      </c>
      <c r="E27" s="22"/>
      <c r="G27" s="4" t="s">
        <v>39</v>
      </c>
      <c r="H27" s="4" t="s">
        <v>39</v>
      </c>
      <c r="I27" s="4" t="s">
        <v>39</v>
      </c>
      <c r="J27" s="4" t="s">
        <v>39</v>
      </c>
      <c r="K27" s="4" t="s">
        <v>39</v>
      </c>
      <c r="L27" s="24" t="s">
        <v>40</v>
      </c>
      <c r="M27" s="24" t="s">
        <v>40</v>
      </c>
    </row>
    <row r="28" spans="1:13" x14ac:dyDescent="0.25">
      <c r="A28" s="23" t="s">
        <v>54</v>
      </c>
      <c r="B28" s="23" t="s">
        <v>113</v>
      </c>
      <c r="C28" s="4" t="s">
        <v>12</v>
      </c>
      <c r="D28" s="21"/>
      <c r="E28" s="22"/>
      <c r="G28" s="4" t="s">
        <v>39</v>
      </c>
      <c r="H28" s="4" t="s">
        <v>39</v>
      </c>
      <c r="I28" s="4" t="s">
        <v>39</v>
      </c>
      <c r="J28" s="4" t="s">
        <v>39</v>
      </c>
      <c r="K28" s="4" t="s">
        <v>39</v>
      </c>
      <c r="L28" s="4" t="s">
        <v>39</v>
      </c>
      <c r="M28" s="21" t="s">
        <v>39</v>
      </c>
    </row>
    <row r="29" spans="1:13" x14ac:dyDescent="0.25">
      <c r="A29" s="23" t="s">
        <v>53</v>
      </c>
      <c r="B29" s="23" t="s">
        <v>84</v>
      </c>
      <c r="C29" s="4" t="s">
        <v>11</v>
      </c>
      <c r="D29" s="24" t="s">
        <v>11</v>
      </c>
      <c r="E29" s="24" t="s">
        <v>11</v>
      </c>
      <c r="G29" s="4" t="s">
        <v>39</v>
      </c>
      <c r="H29" s="4" t="s">
        <v>39</v>
      </c>
      <c r="I29" s="4" t="s">
        <v>39</v>
      </c>
      <c r="J29" s="4" t="s">
        <v>39</v>
      </c>
      <c r="K29" s="4" t="s">
        <v>39</v>
      </c>
      <c r="L29" s="4" t="s">
        <v>39</v>
      </c>
      <c r="M29" s="24" t="s">
        <v>40</v>
      </c>
    </row>
    <row r="30" spans="1:13" x14ac:dyDescent="0.25">
      <c r="A30" s="23" t="s">
        <v>52</v>
      </c>
      <c r="B30" s="23" t="s">
        <v>83</v>
      </c>
      <c r="C30" s="4" t="s">
        <v>10</v>
      </c>
      <c r="D30" s="21"/>
      <c r="E30" s="21"/>
      <c r="G30" s="4" t="s">
        <v>39</v>
      </c>
      <c r="H30" s="4" t="s">
        <v>39</v>
      </c>
      <c r="I30" s="4" t="s">
        <v>39</v>
      </c>
      <c r="J30" s="4" t="s">
        <v>39</v>
      </c>
      <c r="K30" s="4" t="s">
        <v>39</v>
      </c>
      <c r="L30" s="4" t="s">
        <v>39</v>
      </c>
      <c r="M30" s="4" t="s">
        <v>39</v>
      </c>
    </row>
    <row r="31" spans="1:13" x14ac:dyDescent="0.25">
      <c r="A31" s="23" t="s">
        <v>51</v>
      </c>
      <c r="B31" s="23" t="s">
        <v>82</v>
      </c>
      <c r="C31" s="4" t="s">
        <v>9</v>
      </c>
      <c r="D31" s="24" t="s">
        <v>9</v>
      </c>
      <c r="E31" s="22"/>
      <c r="G31" s="4" t="s">
        <v>39</v>
      </c>
      <c r="H31" s="4" t="s">
        <v>39</v>
      </c>
      <c r="I31" s="4" t="s">
        <v>39</v>
      </c>
      <c r="J31" s="4" t="s">
        <v>39</v>
      </c>
      <c r="K31" s="4" t="s">
        <v>39</v>
      </c>
      <c r="L31" s="4" t="s">
        <v>39</v>
      </c>
      <c r="M31" s="4" t="s">
        <v>39</v>
      </c>
    </row>
    <row r="32" spans="1:13" x14ac:dyDescent="0.25">
      <c r="A32" s="23" t="s">
        <v>50</v>
      </c>
      <c r="B32" s="23" t="s">
        <v>81</v>
      </c>
      <c r="C32" s="4" t="s">
        <v>8</v>
      </c>
      <c r="D32" s="21"/>
      <c r="E32" s="22"/>
      <c r="G32" s="4" t="s">
        <v>39</v>
      </c>
      <c r="H32" s="4" t="s">
        <v>39</v>
      </c>
      <c r="I32" s="4" t="s">
        <v>39</v>
      </c>
      <c r="J32" s="4" t="s">
        <v>39</v>
      </c>
      <c r="K32" s="4" t="s">
        <v>39</v>
      </c>
      <c r="L32" s="4" t="s">
        <v>39</v>
      </c>
      <c r="M32" s="4" t="s">
        <v>39</v>
      </c>
    </row>
    <row r="33" spans="1:13" x14ac:dyDescent="0.25">
      <c r="A33" s="23" t="s">
        <v>49</v>
      </c>
      <c r="B33" s="23">
        <v>0</v>
      </c>
      <c r="C33" s="4" t="s">
        <v>7</v>
      </c>
      <c r="D33" s="24" t="s">
        <v>7</v>
      </c>
      <c r="E33" s="24" t="s">
        <v>7</v>
      </c>
      <c r="G33" s="4" t="s">
        <v>39</v>
      </c>
      <c r="H33" s="4" t="s">
        <v>39</v>
      </c>
      <c r="I33" s="4" t="s">
        <v>39</v>
      </c>
      <c r="J33" s="4" t="s">
        <v>39</v>
      </c>
      <c r="K33" s="4" t="s">
        <v>39</v>
      </c>
      <c r="L33" s="4" t="s">
        <v>39</v>
      </c>
      <c r="M33" s="4" t="s">
        <v>39</v>
      </c>
    </row>
  </sheetData>
  <phoneticPr fontId="2" type="noConversion"/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vregcfg</vt:lpstr>
      <vt:lpstr>old</vt:lpstr>
      <vt:lpstr>new</vt:lpstr>
      <vt:lpstr>P</vt:lpstr>
      <vt:lpstr>P2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xb21cn</cp:lastModifiedBy>
  <dcterms:created xsi:type="dcterms:W3CDTF">2015-01-15T16:55:01Z</dcterms:created>
  <dcterms:modified xsi:type="dcterms:W3CDTF">2022-10-02T16:22:47Z</dcterms:modified>
</cp:coreProperties>
</file>